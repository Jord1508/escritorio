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Jord\Idat\Hoja de Calculo I\ECU\"/>
    </mc:Choice>
  </mc:AlternateContent>
  <xr:revisionPtr revIDLastSave="0" documentId="8_{B037A957-67EC-4367-8FF5-D03A71494155}" xr6:coauthVersionLast="37" xr6:coauthVersionMax="37" xr10:uidLastSave="{00000000-0000-0000-0000-000000000000}"/>
  <bookViews>
    <workbookView xWindow="0" yWindow="0" windowWidth="20490" windowHeight="7545" xr2:uid="{00000000-000D-0000-FFFF-FFFF00000000}"/>
  </bookViews>
  <sheets>
    <sheet name="Table 1" sheetId="1" r:id="rId1"/>
  </sheets>
  <definedNames>
    <definedName name="_xlnm._FilterDatabase" localSheetId="0" hidden="1">'Table 1'!$B$15:$M$27</definedName>
    <definedName name="_xlnm.Criteria" localSheetId="0">'Table 1'!$B$6:$M$7</definedName>
  </definedNames>
  <calcPr calcId="179021"/>
</workbook>
</file>

<file path=xl/calcChain.xml><?xml version="1.0" encoding="utf-8"?>
<calcChain xmlns="http://schemas.openxmlformats.org/spreadsheetml/2006/main">
  <c r="D40" i="1" l="1"/>
  <c r="D39" i="1"/>
  <c r="D38" i="1"/>
  <c r="G16" i="1"/>
  <c r="I21" i="1"/>
  <c r="I26" i="1"/>
  <c r="I27" i="1"/>
  <c r="I20" i="1"/>
  <c r="I19" i="1"/>
  <c r="I18" i="1"/>
  <c r="E11" i="1"/>
  <c r="I25" i="1" s="1"/>
  <c r="G25" i="1"/>
  <c r="G26" i="1"/>
  <c r="G27" i="1"/>
  <c r="G20" i="1"/>
  <c r="G21" i="1"/>
  <c r="J21" i="1" s="1"/>
  <c r="G22" i="1"/>
  <c r="G23" i="1"/>
  <c r="G24" i="1"/>
  <c r="G17" i="1"/>
  <c r="G18" i="1"/>
  <c r="G19" i="1"/>
  <c r="I24" i="1" l="1"/>
  <c r="J24" i="1" s="1"/>
  <c r="K24" i="1" s="1"/>
  <c r="L24" i="1" s="1"/>
  <c r="M24" i="1" s="1"/>
  <c r="I16" i="1"/>
  <c r="I23" i="1"/>
  <c r="I17" i="1"/>
  <c r="J17" i="1" s="1"/>
  <c r="K17" i="1" s="1"/>
  <c r="L17" i="1" s="1"/>
  <c r="M17" i="1" s="1"/>
  <c r="I22" i="1"/>
  <c r="J23" i="1"/>
  <c r="K23" i="1" s="1"/>
  <c r="L23" i="1" s="1"/>
  <c r="M23" i="1" s="1"/>
  <c r="J26" i="1"/>
  <c r="K26" i="1" s="1"/>
  <c r="L26" i="1" s="1"/>
  <c r="M26" i="1" s="1"/>
  <c r="J22" i="1"/>
  <c r="K22" i="1" s="1"/>
  <c r="L22" i="1" s="1"/>
  <c r="M22" i="1" s="1"/>
  <c r="J18" i="1"/>
  <c r="K18" i="1" s="1"/>
  <c r="L18" i="1" s="1"/>
  <c r="M18" i="1" s="1"/>
  <c r="J20" i="1"/>
  <c r="K20" i="1" s="1"/>
  <c r="L20" i="1" s="1"/>
  <c r="M20" i="1" s="1"/>
  <c r="J19" i="1"/>
  <c r="K19" i="1" s="1"/>
  <c r="L19" i="1" s="1"/>
  <c r="M19" i="1" s="1"/>
  <c r="J27" i="1"/>
  <c r="K27" i="1" s="1"/>
  <c r="L27" i="1" s="1"/>
  <c r="M27" i="1" s="1"/>
  <c r="K21" i="1"/>
  <c r="L21" i="1" s="1"/>
  <c r="M21" i="1" s="1"/>
  <c r="J25" i="1"/>
  <c r="J16" i="1"/>
  <c r="G28" i="1"/>
  <c r="J28" i="1" l="1"/>
  <c r="K16" i="1"/>
  <c r="L16" i="1" s="1"/>
  <c r="K25" i="1"/>
  <c r="L25" i="1" s="1"/>
  <c r="M25" i="1" s="1"/>
  <c r="E31" i="1" l="1"/>
  <c r="E33" i="1"/>
  <c r="E32" i="1"/>
  <c r="L28" i="1"/>
  <c r="D42" i="1"/>
  <c r="D41" i="1"/>
  <c r="M16" i="1"/>
  <c r="E35" i="1" l="1"/>
</calcChain>
</file>

<file path=xl/sharedStrings.xml><?xml version="1.0" encoding="utf-8"?>
<sst xmlns="http://schemas.openxmlformats.org/spreadsheetml/2006/main" count="106" uniqueCount="74">
  <si>
    <r>
      <rPr>
        <b/>
        <sz val="8"/>
        <color rgb="FFFFFFFF"/>
        <rFont val="Calibri"/>
        <family val="2"/>
      </rPr>
      <t>CUADRODE VALORES</t>
    </r>
  </si>
  <si>
    <r>
      <rPr>
        <b/>
        <sz val="8"/>
        <color rgb="FFFFFFFF"/>
        <rFont val="Calibri"/>
        <family val="2"/>
      </rPr>
      <t>CUADRO DE SUELDOS</t>
    </r>
  </si>
  <si>
    <r>
      <rPr>
        <b/>
        <sz val="8"/>
        <color rgb="FFFFFFFF"/>
        <rFont val="Calibri"/>
        <family val="2"/>
      </rPr>
      <t>ESTADO DEL TRABAJADOR</t>
    </r>
  </si>
  <si>
    <t>INDICACIONES</t>
  </si>
  <si>
    <t>HALLAR LO SGTE</t>
  </si>
  <si>
    <t>CRONOGRAMA DE PAGOS 2023</t>
  </si>
  <si>
    <t>COMISION</t>
  </si>
  <si>
    <t>SUPERVISOR</t>
  </si>
  <si>
    <t>EXCELENTE</t>
  </si>
  <si>
    <t>VALOR GPS</t>
  </si>
  <si>
    <t>PROMOTOR</t>
  </si>
  <si>
    <t>BUENO</t>
  </si>
  <si>
    <t>INCENTIVO DE VENTA</t>
  </si>
  <si>
    <t>VENDEDOR</t>
  </si>
  <si>
    <t>REGULAR</t>
  </si>
  <si>
    <t>MAYOR O IGUAL A</t>
  </si>
  <si>
    <t>MALO</t>
  </si>
  <si>
    <t>AB-01</t>
  </si>
  <si>
    <t>Jose Pena</t>
  </si>
  <si>
    <t>AB-02</t>
  </si>
  <si>
    <t>Juan Carlos Tapia</t>
  </si>
  <si>
    <t>AB-03</t>
  </si>
  <si>
    <t>Alonso Chipana</t>
  </si>
  <si>
    <t>AB-04</t>
  </si>
  <si>
    <t>Leilie Rojas de Chipana</t>
  </si>
  <si>
    <t>AB-05</t>
  </si>
  <si>
    <t>Mirtha De Lama</t>
  </si>
  <si>
    <t>AB-06</t>
  </si>
  <si>
    <t>Antonieta Salvador</t>
  </si>
  <si>
    <t>AB-07</t>
  </si>
  <si>
    <t>Maria Esther Carrasco</t>
  </si>
  <si>
    <t>AB-08</t>
  </si>
  <si>
    <t>Micaela Tapia De Lama</t>
  </si>
  <si>
    <t>AB-09</t>
  </si>
  <si>
    <t>Oscar De Leon</t>
  </si>
  <si>
    <t>AB-10</t>
  </si>
  <si>
    <t>Celia Cruz</t>
  </si>
  <si>
    <t>AB-11</t>
  </si>
  <si>
    <t>Isabela Chipana Rojas</t>
  </si>
  <si>
    <t>AB-12</t>
  </si>
  <si>
    <t>Demetrio Serafino Panduro</t>
  </si>
  <si>
    <t>Pago Total a Spervisores</t>
  </si>
  <si>
    <t>Nº de Supervisores</t>
  </si>
  <si>
    <t>Pago Total a Promotores</t>
  </si>
  <si>
    <t>Nº de Promotores</t>
  </si>
  <si>
    <t>Pago Total a Vendedores</t>
  </si>
  <si>
    <t>Nº de Vendedores</t>
  </si>
  <si>
    <t>Maximo Sueldo del Neto</t>
  </si>
  <si>
    <t>Minimo Sueldo del Neto</t>
  </si>
  <si>
    <r>
      <rPr>
        <b/>
        <sz val="10"/>
        <color rgb="FFFFFFFF"/>
        <rFont val="Calibri"/>
        <family val="2"/>
      </rPr>
      <t>TOTAL</t>
    </r>
  </si>
  <si>
    <r>
      <rPr>
        <b/>
        <sz val="10"/>
        <color rgb="FFFFFFFF"/>
        <rFont val="Calibri"/>
        <family val="2"/>
      </rPr>
      <t>CRONOGRAMA DE PAGOS POR CARGO</t>
    </r>
  </si>
  <si>
    <r>
      <rPr>
        <b/>
        <sz val="10"/>
        <color rgb="FFFFFFFF"/>
        <rFont val="Calibri"/>
        <family val="2"/>
      </rPr>
      <t>ESTADISTICA GENERAL</t>
    </r>
  </si>
  <si>
    <r>
      <rPr>
        <b/>
        <sz val="10"/>
        <color rgb="FFFFFFFF"/>
        <rFont val="Calibri"/>
        <family val="2"/>
      </rPr>
      <t>Total Pago Personal</t>
    </r>
  </si>
  <si>
    <r>
      <rPr>
        <b/>
        <sz val="9"/>
        <color rgb="FFFFFFFF"/>
        <rFont val="Calibri"/>
        <family val="2"/>
      </rPr>
      <t>CODIGO</t>
    </r>
  </si>
  <si>
    <r>
      <rPr>
        <b/>
        <sz val="9"/>
        <color rgb="FFFFFFFF"/>
        <rFont val="Calibri"/>
        <family val="2"/>
      </rPr>
      <t>NOMBRES Y APELLIDOS</t>
    </r>
  </si>
  <si>
    <r>
      <rPr>
        <b/>
        <sz val="9"/>
        <color rgb="FFFFFFFF"/>
        <rFont val="Calibri"/>
        <family val="2"/>
      </rPr>
      <t>CARGO</t>
    </r>
  </si>
  <si>
    <r>
      <rPr>
        <b/>
        <sz val="9"/>
        <color rgb="FFFFFFFF"/>
        <rFont val="Calibri"/>
        <family val="2"/>
      </rPr>
      <t>BASICO</t>
    </r>
  </si>
  <si>
    <r>
      <rPr>
        <b/>
        <sz val="9"/>
        <color rgb="FFFFFFFF"/>
        <rFont val="Calibri"/>
        <family val="2"/>
      </rPr>
      <t>Nº DE VENTAS AL MES</t>
    </r>
  </si>
  <si>
    <r>
      <rPr>
        <b/>
        <sz val="9"/>
        <color rgb="FFFFFFFF"/>
        <rFont val="Calibri"/>
        <family val="2"/>
      </rPr>
      <t>COMISIONES DE VENTAS</t>
    </r>
  </si>
  <si>
    <r>
      <rPr>
        <b/>
        <sz val="9"/>
        <color rgb="FFFFFFFF"/>
        <rFont val="Calibri"/>
        <family val="2"/>
      </rPr>
      <t>TOTAL ACUMULADO</t>
    </r>
  </si>
  <si>
    <r>
      <rPr>
        <b/>
        <sz val="9"/>
        <color rgb="FFFFFFFF"/>
        <rFont val="Calibri"/>
        <family val="2"/>
      </rPr>
      <t>PREMIOS</t>
    </r>
  </si>
  <si>
    <r>
      <rPr>
        <b/>
        <sz val="9"/>
        <color rgb="FFFFFFFF"/>
        <rFont val="Calibri"/>
        <family val="2"/>
      </rPr>
      <t>NETO</t>
    </r>
  </si>
  <si>
    <r>
      <rPr>
        <b/>
        <sz val="9"/>
        <color rgb="FFFFFFFF"/>
        <rFont val="Calibri"/>
        <family val="2"/>
      </rPr>
      <t>OBS</t>
    </r>
  </si>
  <si>
    <t>BUSQUEDA AVANZADA</t>
  </si>
  <si>
    <t>*** TENER EN CONSIDERACÓN</t>
  </si>
  <si>
    <t>*** INGRESANDO EL CARGO DEL TRABAJADOR, EL SISTEMA INGRESARA AUTOMATICAMENTE  EL BASICO PARA DICHO CARGO</t>
  </si>
  <si>
    <t>*** LA COMISION SERA EL VALOR DE GPS POR EL 5% Y POR EL NUMERO DE VENTAS</t>
  </si>
  <si>
    <t>*** EL PREMIO SE DARA el 5% AL TRABAJADOR QUE TENGA O EXCEDA  DE S/, 1500,00 NUEVOS SOLES  DEL TOTAL ACUMULADO</t>
  </si>
  <si>
    <t>*** HALLAR EL NETO</t>
  </si>
  <si>
    <t>*** HALLAR LA OBSERVACION EN RELACION AL CUADRO DEL ESTADO DEL TRABAJDOR</t>
  </si>
  <si>
    <t>*** CREAR FILTROS DNAMICOS - CREANDO UN BOTON DE MACRO</t>
  </si>
  <si>
    <t>*** CREAR FILTROS AVANZADOS DETERMINANDO LA BUSQUEDA INMEDIATA - APLICAR MACROS</t>
  </si>
  <si>
    <t>*** UTILIZAR SUMA CONDICIONAL PARA LA EL CRONOGRAMA DE PAGOS</t>
  </si>
  <si>
    <t>*** HALLAR LA ESTADISTICA GENERAL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</si>
</sst>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S/-280A]\ * #,##0.00_-;\-[$S/-280A]\ * #,##0.00_-;_-[$S/-280A]\ * &quot;-&quot;??_-;_-@_-"/>
  </numFmts>
  <fonts count="18" x14ac:knownFonts="1">
    <font>
      <sz val="10"/>
      <color rgb="FF000000"/>
      <name val="Times New Roman"/>
      <charset val="204"/>
    </font>
    <font>
      <b/>
      <sz val="8"/>
      <color rgb="FFFFFFFF"/>
      <name val="Calibri"/>
      <family val="2"/>
    </font>
    <font>
      <sz val="10"/>
      <color rgb="FF000000"/>
      <name val="Times New Roman"/>
      <family val="1"/>
    </font>
    <font>
      <sz val="10"/>
      <color rgb="FF000000"/>
      <name val="Calibri"/>
      <family val="2"/>
    </font>
    <font>
      <b/>
      <sz val="8"/>
      <name val="Calibri"/>
      <family val="2"/>
    </font>
    <font>
      <sz val="9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9.5"/>
      <name val="Calibri"/>
      <family val="2"/>
    </font>
    <font>
      <b/>
      <sz val="10"/>
      <color rgb="FF000000"/>
      <name val="Calibri"/>
      <family val="2"/>
    </font>
    <font>
      <b/>
      <sz val="10"/>
      <color rgb="FFFFFFFF"/>
      <name val="Calibri"/>
      <family val="2"/>
    </font>
    <font>
      <b/>
      <sz val="10"/>
      <color theme="0"/>
      <name val="Calibri"/>
      <family val="2"/>
    </font>
    <font>
      <b/>
      <sz val="12"/>
      <color theme="0"/>
      <name val="Calibri"/>
      <family val="2"/>
    </font>
    <font>
      <b/>
      <sz val="26"/>
      <color theme="0"/>
      <name val="Calibri"/>
      <family val="2"/>
    </font>
    <font>
      <b/>
      <sz val="9"/>
      <name val="Calibri"/>
      <family val="2"/>
    </font>
    <font>
      <b/>
      <sz val="9"/>
      <color rgb="FFFFFFFF"/>
      <name val="Calibri"/>
      <family val="2"/>
    </font>
    <font>
      <sz val="9"/>
      <color rgb="FF000000"/>
      <name val="Calibri"/>
      <family val="2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BEBEBE"/>
      </patternFill>
    </fill>
    <fill>
      <patternFill patternType="solid">
        <fgColor rgb="FF000000"/>
      </patternFill>
    </fill>
    <fill>
      <patternFill patternType="solid">
        <fgColor rgb="FFD9D9D9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000"/>
        <bgColor indexed="64"/>
      </patternFill>
    </fill>
  </fills>
  <borders count="2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</borders>
  <cellStyleXfs count="1">
    <xf numFmtId="0" fontId="0" fillId="0" borderId="0"/>
  </cellStyleXfs>
  <cellXfs count="136">
    <xf numFmtId="0" fontId="0" fillId="0" borderId="0" xfId="0" applyFill="1" applyBorder="1" applyAlignment="1">
      <alignment horizontal="left" vertical="top"/>
    </xf>
    <xf numFmtId="0" fontId="3" fillId="0" borderId="8" xfId="0" applyFont="1" applyFill="1" applyBorder="1" applyAlignment="1">
      <alignment horizontal="left"/>
    </xf>
    <xf numFmtId="0" fontId="3" fillId="0" borderId="12" xfId="0" applyFont="1" applyFill="1" applyBorder="1" applyAlignment="1">
      <alignment horizontal="left"/>
    </xf>
    <xf numFmtId="0" fontId="3" fillId="3" borderId="0" xfId="0" applyFont="1" applyFill="1" applyBorder="1" applyAlignment="1">
      <alignment horizontal="left"/>
    </xf>
    <xf numFmtId="0" fontId="7" fillId="0" borderId="7" xfId="0" applyFont="1" applyFill="1" applyBorder="1" applyAlignment="1">
      <alignment vertical="top"/>
    </xf>
    <xf numFmtId="0" fontId="7" fillId="0" borderId="0" xfId="0" applyFont="1" applyFill="1" applyBorder="1" applyAlignment="1">
      <alignment vertical="top"/>
    </xf>
    <xf numFmtId="0" fontId="3" fillId="0" borderId="8" xfId="0" applyFont="1" applyFill="1" applyBorder="1" applyAlignment="1">
      <alignment horizontal="center" wrapText="1"/>
    </xf>
    <xf numFmtId="0" fontId="0" fillId="0" borderId="0" xfId="0" applyFill="1" applyBorder="1" applyAlignment="1">
      <alignment horizontal="center" vertical="top" wrapText="1"/>
    </xf>
    <xf numFmtId="0" fontId="0" fillId="0" borderId="0" xfId="0" applyFill="1" applyBorder="1" applyAlignment="1">
      <alignment horizontal="left" vertical="center"/>
    </xf>
    <xf numFmtId="0" fontId="8" fillId="0" borderId="0" xfId="0" applyFont="1" applyFill="1" applyBorder="1" applyAlignment="1">
      <alignment vertical="center"/>
    </xf>
    <xf numFmtId="0" fontId="8" fillId="0" borderId="8" xfId="0" applyFont="1" applyFill="1" applyBorder="1" applyAlignment="1">
      <alignment vertical="center"/>
    </xf>
    <xf numFmtId="0" fontId="3" fillId="0" borderId="1" xfId="0" applyFont="1" applyFill="1" applyBorder="1" applyAlignment="1">
      <alignment horizontal="left" vertical="center" wrapText="1"/>
    </xf>
    <xf numFmtId="0" fontId="6" fillId="0" borderId="0" xfId="0" applyFont="1" applyFill="1" applyBorder="1" applyAlignment="1">
      <alignment horizontal="left" vertical="center" wrapText="1"/>
    </xf>
    <xf numFmtId="0" fontId="6" fillId="2" borderId="9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left" vertical="center"/>
    </xf>
    <xf numFmtId="1" fontId="9" fillId="2" borderId="9" xfId="0" applyNumberFormat="1" applyFont="1" applyFill="1" applyBorder="1" applyAlignment="1">
      <alignment horizontal="center" vertical="center" wrapText="1" shrinkToFit="1"/>
    </xf>
    <xf numFmtId="0" fontId="7" fillId="0" borderId="9" xfId="0" applyFont="1" applyFill="1" applyBorder="1" applyAlignment="1">
      <alignment horizontal="left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left" vertical="center"/>
    </xf>
    <xf numFmtId="1" fontId="9" fillId="2" borderId="1" xfId="0" applyNumberFormat="1" applyFont="1" applyFill="1" applyBorder="1" applyAlignment="1">
      <alignment horizontal="center" vertical="center" wrapText="1" shrinkToFit="1"/>
    </xf>
    <xf numFmtId="0" fontId="6" fillId="3" borderId="6" xfId="0" applyFont="1" applyFill="1" applyBorder="1" applyAlignment="1">
      <alignment horizontal="left" vertical="center"/>
    </xf>
    <xf numFmtId="0" fontId="3" fillId="3" borderId="6" xfId="0" applyFont="1" applyFill="1" applyBorder="1" applyAlignment="1">
      <alignment horizontal="left" vertical="center"/>
    </xf>
    <xf numFmtId="164" fontId="5" fillId="0" borderId="9" xfId="0" applyNumberFormat="1" applyFont="1" applyFill="1" applyBorder="1" applyAlignment="1">
      <alignment horizontal="left" vertical="center"/>
    </xf>
    <xf numFmtId="164" fontId="11" fillId="3" borderId="6" xfId="0" applyNumberFormat="1" applyFont="1" applyFill="1" applyBorder="1" applyAlignment="1">
      <alignment horizontal="center" vertical="center"/>
    </xf>
    <xf numFmtId="9" fontId="3" fillId="0" borderId="9" xfId="0" applyNumberFormat="1" applyFont="1" applyFill="1" applyBorder="1" applyAlignment="1">
      <alignment horizontal="right" vertical="center" shrinkToFit="1"/>
    </xf>
    <xf numFmtId="0" fontId="6" fillId="0" borderId="0" xfId="0" applyFont="1" applyFill="1" applyBorder="1" applyAlignment="1">
      <alignment vertical="center"/>
    </xf>
    <xf numFmtId="0" fontId="6" fillId="0" borderId="8" xfId="0" applyFont="1" applyFill="1" applyBorder="1" applyAlignment="1">
      <alignment vertical="center"/>
    </xf>
    <xf numFmtId="0" fontId="6" fillId="4" borderId="9" xfId="0" applyFont="1" applyFill="1" applyBorder="1" applyAlignment="1">
      <alignment horizontal="left" vertical="center" wrapText="1"/>
    </xf>
    <xf numFmtId="164" fontId="7" fillId="0" borderId="9" xfId="0" applyNumberFormat="1" applyFont="1" applyFill="1" applyBorder="1" applyAlignment="1">
      <alignment horizontal="left" vertical="center"/>
    </xf>
    <xf numFmtId="1" fontId="3" fillId="0" borderId="9" xfId="0" applyNumberFormat="1" applyFont="1" applyFill="1" applyBorder="1" applyAlignment="1">
      <alignment horizontal="right" vertical="center" shrinkToFit="1"/>
    </xf>
    <xf numFmtId="0" fontId="2" fillId="0" borderId="0" xfId="0" applyFont="1" applyFill="1" applyBorder="1" applyAlignment="1">
      <alignment horizontal="left" vertical="center"/>
    </xf>
    <xf numFmtId="164" fontId="6" fillId="4" borderId="1" xfId="0" applyNumberFormat="1" applyFont="1" applyFill="1" applyBorder="1" applyAlignment="1">
      <alignment horizontal="center" vertical="center"/>
    </xf>
    <xf numFmtId="164" fontId="7" fillId="0" borderId="1" xfId="0" applyNumberFormat="1" applyFont="1" applyFill="1" applyBorder="1" applyAlignment="1">
      <alignment horizontal="left" vertical="center" wrapText="1"/>
    </xf>
    <xf numFmtId="0" fontId="6" fillId="4" borderId="1" xfId="0" applyFont="1" applyFill="1" applyBorder="1" applyAlignment="1">
      <alignment horizontal="left" vertical="center" wrapText="1"/>
    </xf>
    <xf numFmtId="1" fontId="3" fillId="0" borderId="1" xfId="0" applyNumberFormat="1" applyFont="1" applyFill="1" applyBorder="1" applyAlignment="1">
      <alignment horizontal="right" vertical="center" shrinkToFit="1"/>
    </xf>
    <xf numFmtId="9" fontId="3" fillId="0" borderId="1" xfId="0" applyNumberFormat="1" applyFont="1" applyFill="1" applyBorder="1" applyAlignment="1">
      <alignment horizontal="right" vertical="center" shrinkToFit="1"/>
    </xf>
    <xf numFmtId="164" fontId="7" fillId="0" borderId="9" xfId="0" applyNumberFormat="1" applyFont="1" applyFill="1" applyBorder="1" applyAlignment="1">
      <alignment horizontal="center" vertical="center"/>
    </xf>
    <xf numFmtId="164" fontId="7" fillId="0" borderId="9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top"/>
    </xf>
    <xf numFmtId="164" fontId="3" fillId="0" borderId="0" xfId="0" applyNumberFormat="1" applyFont="1" applyFill="1" applyBorder="1" applyAlignment="1">
      <alignment vertical="top"/>
    </xf>
    <xf numFmtId="1" fontId="3" fillId="0" borderId="6" xfId="0" applyNumberFormat="1" applyFont="1" applyFill="1" applyBorder="1" applyAlignment="1">
      <alignment horizontal="center" vertical="center" shrinkToFit="1"/>
    </xf>
    <xf numFmtId="0" fontId="12" fillId="0" borderId="0" xfId="0" applyFont="1" applyFill="1" applyBorder="1" applyAlignment="1">
      <alignment horizontal="left" vertical="center" wrapText="1"/>
    </xf>
    <xf numFmtId="0" fontId="3" fillId="0" borderId="0" xfId="0" applyFont="1" applyFill="1" applyBorder="1" applyAlignment="1">
      <alignment horizontal="left"/>
    </xf>
    <xf numFmtId="0" fontId="7" fillId="0" borderId="7" xfId="0" applyFont="1" applyFill="1" applyBorder="1" applyAlignment="1">
      <alignment horizontal="left" vertical="top"/>
    </xf>
    <xf numFmtId="0" fontId="14" fillId="6" borderId="6" xfId="0" applyFont="1" applyFill="1" applyBorder="1" applyAlignment="1">
      <alignment horizontal="center" vertical="center" wrapText="1"/>
    </xf>
    <xf numFmtId="0" fontId="3" fillId="0" borderId="7" xfId="0" applyFont="1" applyFill="1" applyBorder="1" applyAlignment="1">
      <alignment vertical="center"/>
    </xf>
    <xf numFmtId="164" fontId="5" fillId="0" borderId="0" xfId="0" applyNumberFormat="1" applyFont="1" applyFill="1" applyBorder="1" applyAlignment="1">
      <alignment horizontal="left" vertical="center"/>
    </xf>
    <xf numFmtId="164" fontId="5" fillId="0" borderId="14" xfId="0" applyNumberFormat="1" applyFont="1" applyFill="1" applyBorder="1" applyAlignment="1">
      <alignment horizontal="left" vertical="center"/>
    </xf>
    <xf numFmtId="0" fontId="7" fillId="0" borderId="15" xfId="0" applyFont="1" applyFill="1" applyBorder="1" applyAlignment="1">
      <alignment vertical="top"/>
    </xf>
    <xf numFmtId="0" fontId="7" fillId="0" borderId="16" xfId="0" applyFont="1" applyFill="1" applyBorder="1" applyAlignment="1">
      <alignment vertical="top"/>
    </xf>
    <xf numFmtId="0" fontId="3" fillId="0" borderId="7" xfId="0" applyFont="1" applyFill="1" applyBorder="1" applyAlignment="1">
      <alignment vertical="top"/>
    </xf>
    <xf numFmtId="0" fontId="6" fillId="0" borderId="9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left" vertical="center"/>
    </xf>
    <xf numFmtId="1" fontId="9" fillId="0" borderId="9" xfId="0" applyNumberFormat="1" applyFont="1" applyFill="1" applyBorder="1" applyAlignment="1">
      <alignment horizontal="center" vertical="center" shrinkToFit="1"/>
    </xf>
    <xf numFmtId="0" fontId="14" fillId="7" borderId="6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left" vertical="center"/>
    </xf>
    <xf numFmtId="164" fontId="7" fillId="0" borderId="6" xfId="0" applyNumberFormat="1" applyFont="1" applyFill="1" applyBorder="1" applyAlignment="1">
      <alignment horizontal="right" vertical="top"/>
    </xf>
    <xf numFmtId="164" fontId="7" fillId="0" borderId="9" xfId="0" applyNumberFormat="1" applyFont="1" applyFill="1" applyBorder="1" applyAlignment="1">
      <alignment horizontal="right" vertical="top"/>
    </xf>
    <xf numFmtId="164" fontId="11" fillId="3" borderId="0" xfId="0" applyNumberFormat="1" applyFont="1" applyFill="1" applyBorder="1" applyAlignment="1">
      <alignment horizontal="right" vertical="top"/>
    </xf>
    <xf numFmtId="0" fontId="6" fillId="0" borderId="0" xfId="0" applyFont="1" applyFill="1" applyBorder="1" applyAlignment="1">
      <alignment horizontal="left" vertical="center"/>
    </xf>
    <xf numFmtId="0" fontId="6" fillId="0" borderId="18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left" vertical="center"/>
    </xf>
    <xf numFmtId="164" fontId="5" fillId="0" borderId="18" xfId="0" applyNumberFormat="1" applyFont="1" applyFill="1" applyBorder="1" applyAlignment="1">
      <alignment horizontal="left" vertical="center"/>
    </xf>
    <xf numFmtId="1" fontId="9" fillId="0" borderId="18" xfId="0" applyNumberFormat="1" applyFont="1" applyFill="1" applyBorder="1" applyAlignment="1">
      <alignment horizontal="center" vertical="center" shrinkToFit="1"/>
    </xf>
    <xf numFmtId="164" fontId="7" fillId="0" borderId="18" xfId="0" applyNumberFormat="1" applyFont="1" applyFill="1" applyBorder="1" applyAlignment="1">
      <alignment horizontal="center" vertical="center"/>
    </xf>
    <xf numFmtId="164" fontId="7" fillId="0" borderId="18" xfId="0" applyNumberFormat="1" applyFont="1" applyFill="1" applyBorder="1" applyAlignment="1">
      <alignment horizontal="right" vertical="center"/>
    </xf>
    <xf numFmtId="0" fontId="7" fillId="0" borderId="18" xfId="0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center" vertical="center"/>
    </xf>
    <xf numFmtId="1" fontId="9" fillId="0" borderId="0" xfId="0" applyNumberFormat="1" applyFont="1" applyFill="1" applyBorder="1" applyAlignment="1">
      <alignment horizontal="center" vertical="center" shrinkToFit="1"/>
    </xf>
    <xf numFmtId="164" fontId="7" fillId="0" borderId="0" xfId="0" applyNumberFormat="1" applyFont="1" applyFill="1" applyBorder="1" applyAlignment="1">
      <alignment horizontal="center" vertical="center"/>
    </xf>
    <xf numFmtId="164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left" vertical="center"/>
    </xf>
    <xf numFmtId="0" fontId="14" fillId="9" borderId="6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vertical="top" wrapText="1"/>
    </xf>
    <xf numFmtId="0" fontId="6" fillId="0" borderId="0" xfId="0" applyFont="1" applyFill="1" applyBorder="1" applyAlignment="1">
      <alignment horizontal="left" vertical="center" wrapText="1"/>
    </xf>
    <xf numFmtId="0" fontId="16" fillId="0" borderId="8" xfId="0" applyFont="1" applyFill="1" applyBorder="1" applyAlignment="1">
      <alignment horizontal="center" vertical="center" wrapText="1"/>
    </xf>
    <xf numFmtId="0" fontId="17" fillId="0" borderId="8" xfId="0" applyFont="1" applyFill="1" applyBorder="1" applyAlignment="1">
      <alignment horizontal="center" vertical="center" wrapText="1"/>
    </xf>
    <xf numFmtId="0" fontId="6" fillId="0" borderId="10" xfId="0" applyFont="1" applyFill="1" applyBorder="1" applyAlignment="1">
      <alignment horizontal="left" vertical="center"/>
    </xf>
    <xf numFmtId="0" fontId="6" fillId="0" borderId="11" xfId="0" applyFont="1" applyFill="1" applyBorder="1" applyAlignment="1">
      <alignment horizontal="left" vertical="center"/>
    </xf>
    <xf numFmtId="0" fontId="6" fillId="0" borderId="12" xfId="0" applyFont="1" applyFill="1" applyBorder="1" applyAlignment="1">
      <alignment horizontal="left" vertical="center"/>
    </xf>
    <xf numFmtId="0" fontId="14" fillId="9" borderId="7" xfId="0" applyFont="1" applyFill="1" applyBorder="1" applyAlignment="1">
      <alignment horizontal="center" vertical="center" wrapText="1"/>
    </xf>
    <xf numFmtId="0" fontId="14" fillId="9" borderId="0" xfId="0" applyFont="1" applyFill="1" applyBorder="1" applyAlignment="1">
      <alignment horizontal="center" vertical="center" wrapText="1"/>
    </xf>
    <xf numFmtId="0" fontId="14" fillId="9" borderId="8" xfId="0" applyFont="1" applyFill="1" applyBorder="1" applyAlignment="1">
      <alignment horizontal="center" vertical="center" wrapText="1"/>
    </xf>
    <xf numFmtId="0" fontId="6" fillId="0" borderId="15" xfId="0" applyFont="1" applyFill="1" applyBorder="1" applyAlignment="1">
      <alignment horizontal="left" vertical="center"/>
    </xf>
    <xf numFmtId="0" fontId="6" fillId="0" borderId="16" xfId="0" applyFont="1" applyFill="1" applyBorder="1" applyAlignment="1">
      <alignment horizontal="left" vertical="center"/>
    </xf>
    <xf numFmtId="0" fontId="6" fillId="0" borderId="19" xfId="0" applyFont="1" applyFill="1" applyBorder="1" applyAlignment="1">
      <alignment horizontal="left" vertical="center"/>
    </xf>
    <xf numFmtId="0" fontId="13" fillId="6" borderId="2" xfId="0" applyFont="1" applyFill="1" applyBorder="1" applyAlignment="1">
      <alignment horizontal="center" vertical="center"/>
    </xf>
    <xf numFmtId="0" fontId="13" fillId="6" borderId="3" xfId="0" applyFont="1" applyFill="1" applyBorder="1" applyAlignment="1">
      <alignment horizontal="center" vertical="center"/>
    </xf>
    <xf numFmtId="0" fontId="13" fillId="6" borderId="4" xfId="0" applyFont="1" applyFill="1" applyBorder="1" applyAlignment="1">
      <alignment horizontal="center" vertical="center"/>
    </xf>
    <xf numFmtId="0" fontId="12" fillId="8" borderId="17" xfId="0" applyFont="1" applyFill="1" applyBorder="1" applyAlignment="1">
      <alignment horizontal="left" vertical="center" wrapText="1"/>
    </xf>
    <xf numFmtId="0" fontId="4" fillId="6" borderId="7" xfId="0" applyFont="1" applyFill="1" applyBorder="1" applyAlignment="1">
      <alignment horizontal="center" vertical="center" wrapText="1"/>
    </xf>
    <xf numFmtId="0" fontId="4" fillId="6" borderId="0" xfId="0" applyFont="1" applyFill="1" applyBorder="1" applyAlignment="1">
      <alignment horizontal="center" vertical="center" wrapText="1"/>
    </xf>
    <xf numFmtId="0" fontId="4" fillId="6" borderId="8" xfId="0" applyFont="1" applyFill="1" applyBorder="1" applyAlignment="1">
      <alignment horizontal="center" vertical="center" wrapText="1"/>
    </xf>
    <xf numFmtId="0" fontId="4" fillId="6" borderId="0" xfId="0" applyFont="1" applyFill="1" applyBorder="1" applyAlignment="1">
      <alignment horizontal="left" vertical="center" wrapText="1"/>
    </xf>
    <xf numFmtId="0" fontId="3" fillId="0" borderId="0" xfId="0" applyFont="1" applyFill="1" applyBorder="1" applyAlignment="1">
      <alignment horizontal="left" vertical="center" wrapText="1"/>
    </xf>
    <xf numFmtId="0" fontId="7" fillId="4" borderId="10" xfId="0" applyFont="1" applyFill="1" applyBorder="1" applyAlignment="1">
      <alignment horizontal="left" vertical="center" wrapText="1"/>
    </xf>
    <xf numFmtId="0" fontId="7" fillId="4" borderId="11" xfId="0" applyFont="1" applyFill="1" applyBorder="1" applyAlignment="1">
      <alignment horizontal="left" vertical="center" wrapText="1"/>
    </xf>
    <xf numFmtId="0" fontId="7" fillId="4" borderId="12" xfId="0" applyFont="1" applyFill="1" applyBorder="1" applyAlignment="1">
      <alignment horizontal="left" vertical="center" wrapText="1"/>
    </xf>
    <xf numFmtId="0" fontId="7" fillId="4" borderId="2" xfId="0" applyFont="1" applyFill="1" applyBorder="1" applyAlignment="1">
      <alignment horizontal="left" vertical="center" wrapText="1"/>
    </xf>
    <xf numFmtId="0" fontId="7" fillId="4" borderId="4" xfId="0" applyFont="1" applyFill="1" applyBorder="1" applyAlignment="1">
      <alignment horizontal="left" vertical="center" wrapText="1"/>
    </xf>
    <xf numFmtId="0" fontId="7" fillId="4" borderId="3" xfId="0" applyFont="1" applyFill="1" applyBorder="1" applyAlignment="1">
      <alignment horizontal="left" vertical="center" wrapText="1"/>
    </xf>
    <xf numFmtId="0" fontId="3" fillId="0" borderId="7" xfId="0" applyFont="1" applyFill="1" applyBorder="1" applyAlignment="1">
      <alignment horizontal="left" vertical="center" wrapText="1"/>
    </xf>
    <xf numFmtId="0" fontId="3" fillId="0" borderId="8" xfId="0" applyFont="1" applyFill="1" applyBorder="1" applyAlignment="1">
      <alignment horizontal="left" vertical="center" wrapText="1"/>
    </xf>
    <xf numFmtId="0" fontId="14" fillId="6" borderId="7" xfId="0" applyFont="1" applyFill="1" applyBorder="1" applyAlignment="1">
      <alignment horizontal="center" vertical="center" wrapText="1"/>
    </xf>
    <xf numFmtId="0" fontId="14" fillId="6" borderId="0" xfId="0" applyFont="1" applyFill="1" applyBorder="1" applyAlignment="1">
      <alignment horizontal="center" vertical="center" wrapText="1"/>
    </xf>
    <xf numFmtId="0" fontId="14" fillId="6" borderId="8" xfId="0" applyFont="1" applyFill="1" applyBorder="1" applyAlignment="1">
      <alignment horizontal="center" vertical="center" wrapText="1"/>
    </xf>
    <xf numFmtId="0" fontId="14" fillId="7" borderId="7" xfId="0" applyFont="1" applyFill="1" applyBorder="1" applyAlignment="1">
      <alignment horizontal="center" vertical="center" wrapText="1"/>
    </xf>
    <xf numFmtId="0" fontId="14" fillId="7" borderId="0" xfId="0" applyFont="1" applyFill="1" applyBorder="1" applyAlignment="1">
      <alignment horizontal="center" vertical="center" wrapText="1"/>
    </xf>
    <xf numFmtId="0" fontId="14" fillId="7" borderId="8" xfId="0" applyFont="1" applyFill="1" applyBorder="1" applyAlignment="1">
      <alignment horizontal="center" vertical="center" wrapText="1"/>
    </xf>
    <xf numFmtId="0" fontId="6" fillId="2" borderId="10" xfId="0" applyFont="1" applyFill="1" applyBorder="1" applyAlignment="1">
      <alignment horizontal="left" vertical="center"/>
    </xf>
    <xf numFmtId="0" fontId="6" fillId="2" borderId="11" xfId="0" applyFont="1" applyFill="1" applyBorder="1" applyAlignment="1">
      <alignment horizontal="left" vertical="center"/>
    </xf>
    <xf numFmtId="0" fontId="6" fillId="2" borderId="12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/>
    </xf>
    <xf numFmtId="0" fontId="6" fillId="2" borderId="3" xfId="0" applyFont="1" applyFill="1" applyBorder="1" applyAlignment="1">
      <alignment horizontal="left" vertical="center"/>
    </xf>
    <xf numFmtId="0" fontId="6" fillId="2" borderId="4" xfId="0" applyFont="1" applyFill="1" applyBorder="1" applyAlignment="1">
      <alignment horizontal="left" vertical="center"/>
    </xf>
    <xf numFmtId="0" fontId="6" fillId="3" borderId="0" xfId="0" applyFont="1" applyFill="1" applyBorder="1" applyAlignment="1">
      <alignment horizontal="left" vertical="top"/>
    </xf>
    <xf numFmtId="0" fontId="7" fillId="0" borderId="10" xfId="0" applyFont="1" applyFill="1" applyBorder="1" applyAlignment="1">
      <alignment horizontal="left" vertical="top"/>
    </xf>
    <xf numFmtId="0" fontId="7" fillId="0" borderId="12" xfId="0" applyFont="1" applyFill="1" applyBorder="1" applyAlignment="1">
      <alignment horizontal="left" vertical="top"/>
    </xf>
    <xf numFmtId="0" fontId="3" fillId="0" borderId="5" xfId="0" applyFont="1" applyFill="1" applyBorder="1" applyAlignment="1">
      <alignment horizontal="left" vertical="center"/>
    </xf>
    <xf numFmtId="0" fontId="3" fillId="0" borderId="13" xfId="0" applyFont="1" applyFill="1" applyBorder="1" applyAlignment="1">
      <alignment horizontal="left" vertical="center"/>
    </xf>
    <xf numFmtId="4" fontId="6" fillId="3" borderId="7" xfId="0" applyNumberFormat="1" applyFont="1" applyFill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6" fillId="6" borderId="7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top"/>
    </xf>
    <xf numFmtId="0" fontId="3" fillId="0" borderId="0" xfId="0" applyFont="1" applyFill="1" applyBorder="1" applyAlignment="1">
      <alignment horizontal="left"/>
    </xf>
    <xf numFmtId="0" fontId="7" fillId="0" borderId="7" xfId="0" applyFont="1" applyFill="1" applyBorder="1" applyAlignment="1">
      <alignment horizontal="left" vertical="top"/>
    </xf>
    <xf numFmtId="0" fontId="7" fillId="0" borderId="0" xfId="0" applyFont="1" applyFill="1" applyBorder="1" applyAlignment="1">
      <alignment horizontal="left" vertical="top"/>
    </xf>
    <xf numFmtId="0" fontId="0" fillId="0" borderId="0" xfId="0" applyFill="1" applyBorder="1" applyAlignment="1">
      <alignment vertical="top"/>
    </xf>
    <xf numFmtId="0" fontId="6" fillId="0" borderId="0" xfId="0" applyFont="1" applyFill="1" applyBorder="1" applyAlignment="1">
      <alignment vertical="top"/>
    </xf>
    <xf numFmtId="0" fontId="3" fillId="0" borderId="0" xfId="0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/>
    </xf>
    <xf numFmtId="0" fontId="6" fillId="5" borderId="0" xfId="0" applyFont="1" applyFill="1" applyBorder="1" applyAlignment="1">
      <alignment horizontal="center" vertical="top" wrapText="1"/>
    </xf>
    <xf numFmtId="0" fontId="6" fillId="10" borderId="0" xfId="0" applyFont="1" applyFill="1" applyBorder="1" applyAlignment="1">
      <alignment horizontal="center" vertical="top" wrapText="1"/>
    </xf>
  </cellXfs>
  <cellStyles count="1">
    <cellStyle name="Normal" xfId="0" builtinId="0"/>
  </cellStyles>
  <dxfs count="3"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1</xdr:row>
      <xdr:rowOff>180975</xdr:rowOff>
    </xdr:from>
    <xdr:to>
      <xdr:col>0</xdr:col>
      <xdr:colOff>1524000</xdr:colOff>
      <xdr:row>3</xdr:row>
      <xdr:rowOff>257175</xdr:rowOff>
    </xdr:to>
    <xdr:sp macro="[0]!BUSQUEDA_CLICK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DB0FE09-624B-4401-96F3-CC7CF6CAEAA3}"/>
            </a:ext>
          </a:extLst>
        </xdr:cNvPr>
        <xdr:cNvSpPr/>
      </xdr:nvSpPr>
      <xdr:spPr>
        <a:xfrm>
          <a:off x="228600" y="714375"/>
          <a:ext cx="1295400" cy="5810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bliqueBottomRight"/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 b="1"/>
            <a:t>BUSCAR</a:t>
          </a:r>
          <a:r>
            <a:rPr lang="es-ES" sz="900" b="1" baseline="0"/>
            <a:t> </a:t>
          </a:r>
        </a:p>
        <a:p>
          <a:pPr algn="ctr"/>
          <a:r>
            <a:rPr lang="es-ES" sz="900" b="1" baseline="0"/>
            <a:t>CLICK</a:t>
          </a:r>
          <a:endParaRPr lang="es-ES" sz="9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Z43"/>
  <sheetViews>
    <sheetView showGridLines="0" tabSelected="1" workbookViewId="0">
      <selection activeCell="G47" sqref="G47"/>
    </sheetView>
  </sheetViews>
  <sheetFormatPr baseColWidth="10" defaultColWidth="9.33203125" defaultRowHeight="12.75" x14ac:dyDescent="0.2"/>
  <cols>
    <col min="1" max="1" width="31.33203125" customWidth="1"/>
    <col min="2" max="2" width="13.1640625" customWidth="1"/>
    <col min="3" max="3" width="10" customWidth="1"/>
    <col min="4" max="4" width="16.83203125" bestFit="1" customWidth="1"/>
    <col min="5" max="5" width="15.6640625" bestFit="1" customWidth="1"/>
    <col min="6" max="6" width="13.6640625" customWidth="1"/>
    <col min="7" max="7" width="18.5" bestFit="1" customWidth="1"/>
    <col min="8" max="8" width="17.83203125" style="7" customWidth="1"/>
    <col min="9" max="9" width="18.1640625" bestFit="1" customWidth="1"/>
    <col min="10" max="10" width="14.5" bestFit="1" customWidth="1"/>
    <col min="11" max="11" width="17.33203125" bestFit="1" customWidth="1"/>
    <col min="12" max="12" width="16.6640625" bestFit="1" customWidth="1"/>
    <col min="13" max="13" width="12.6640625" customWidth="1"/>
    <col min="14" max="14" width="9.6640625" customWidth="1"/>
    <col min="15" max="15" width="16.1640625" customWidth="1"/>
  </cols>
  <sheetData>
    <row r="1" spans="1:13" ht="42" customHeight="1" x14ac:dyDescent="0.2">
      <c r="A1" s="73"/>
      <c r="B1" s="86" t="s">
        <v>5</v>
      </c>
      <c r="C1" s="87"/>
      <c r="D1" s="87"/>
      <c r="E1" s="87"/>
      <c r="F1" s="87"/>
      <c r="G1" s="87"/>
      <c r="H1" s="87"/>
      <c r="I1" s="87"/>
      <c r="J1" s="87"/>
      <c r="K1" s="87"/>
      <c r="L1" s="87"/>
      <c r="M1" s="88"/>
    </row>
    <row r="2" spans="1:13" ht="15.75" x14ac:dyDescent="0.2">
      <c r="A2" s="73"/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</row>
    <row r="3" spans="1:13" ht="24" x14ac:dyDescent="0.2">
      <c r="A3" s="75"/>
      <c r="B3" s="72" t="s">
        <v>53</v>
      </c>
      <c r="C3" s="80" t="s">
        <v>54</v>
      </c>
      <c r="D3" s="81"/>
      <c r="E3" s="82"/>
      <c r="F3" s="72" t="s">
        <v>55</v>
      </c>
      <c r="G3" s="72" t="s">
        <v>56</v>
      </c>
      <c r="H3" s="72" t="s">
        <v>57</v>
      </c>
      <c r="I3" s="72" t="s">
        <v>58</v>
      </c>
      <c r="J3" s="72" t="s">
        <v>59</v>
      </c>
      <c r="K3" s="72" t="s">
        <v>60</v>
      </c>
      <c r="L3" s="72" t="s">
        <v>61</v>
      </c>
      <c r="M3" s="72" t="s">
        <v>62</v>
      </c>
    </row>
    <row r="4" spans="1:13" ht="21" customHeight="1" x14ac:dyDescent="0.2">
      <c r="A4" s="75"/>
      <c r="B4" s="60"/>
      <c r="C4" s="83"/>
      <c r="D4" s="84"/>
      <c r="E4" s="85"/>
      <c r="F4" s="61"/>
      <c r="G4" s="62"/>
      <c r="H4" s="63"/>
      <c r="I4" s="62"/>
      <c r="J4" s="64"/>
      <c r="K4" s="62"/>
      <c r="L4" s="65"/>
      <c r="M4" s="66"/>
    </row>
    <row r="5" spans="1:13" ht="42" customHeight="1" x14ac:dyDescent="0.2">
      <c r="B5" s="67"/>
      <c r="C5" s="59"/>
      <c r="D5" s="59"/>
      <c r="E5" s="59"/>
      <c r="F5" s="59"/>
      <c r="G5" s="46"/>
      <c r="H5" s="68"/>
      <c r="I5" s="46"/>
      <c r="J5" s="69"/>
      <c r="K5" s="46"/>
      <c r="L5" s="70"/>
      <c r="M5" s="71"/>
    </row>
    <row r="6" spans="1:13" ht="24" customHeight="1" x14ac:dyDescent="0.2">
      <c r="A6" s="76" t="s">
        <v>63</v>
      </c>
      <c r="B6" s="54" t="s">
        <v>53</v>
      </c>
      <c r="C6" s="106" t="s">
        <v>54</v>
      </c>
      <c r="D6" s="107"/>
      <c r="E6" s="108"/>
      <c r="F6" s="54" t="s">
        <v>55</v>
      </c>
      <c r="G6" s="54" t="s">
        <v>56</v>
      </c>
      <c r="H6" s="54" t="s">
        <v>57</v>
      </c>
      <c r="I6" s="54" t="s">
        <v>58</v>
      </c>
      <c r="J6" s="54" t="s">
        <v>59</v>
      </c>
      <c r="K6" s="54" t="s">
        <v>60</v>
      </c>
      <c r="L6" s="54" t="s">
        <v>61</v>
      </c>
      <c r="M6" s="54" t="s">
        <v>62</v>
      </c>
    </row>
    <row r="7" spans="1:13" ht="24" customHeight="1" x14ac:dyDescent="0.2">
      <c r="A7" s="76"/>
      <c r="B7" s="51"/>
      <c r="C7" s="77"/>
      <c r="D7" s="78"/>
      <c r="E7" s="79"/>
      <c r="F7" s="52"/>
      <c r="G7" s="22"/>
      <c r="H7" s="53"/>
      <c r="I7" s="22"/>
      <c r="J7" s="36"/>
      <c r="K7" s="22"/>
      <c r="L7" s="37"/>
      <c r="M7" s="16"/>
    </row>
    <row r="8" spans="1:13" ht="15.75" x14ac:dyDescent="0.2">
      <c r="A8" s="73"/>
      <c r="B8" s="41"/>
      <c r="C8" s="41"/>
      <c r="D8" s="41"/>
      <c r="E8" s="41"/>
      <c r="F8" s="41"/>
      <c r="G8" s="41"/>
      <c r="H8" s="55"/>
      <c r="I8" s="41"/>
      <c r="J8" s="41"/>
      <c r="K8" s="41"/>
      <c r="L8" s="41"/>
      <c r="M8" s="41"/>
    </row>
    <row r="9" spans="1:13" s="8" customFormat="1" ht="12.75" customHeight="1" x14ac:dyDescent="0.2">
      <c r="A9" s="73"/>
      <c r="B9" s="90" t="s">
        <v>0</v>
      </c>
      <c r="C9" s="91"/>
      <c r="D9" s="91"/>
      <c r="E9" s="92"/>
      <c r="F9" s="9"/>
      <c r="G9" s="10"/>
      <c r="H9" s="90" t="s">
        <v>1</v>
      </c>
      <c r="I9" s="92"/>
      <c r="J9" s="45"/>
      <c r="K9" s="93" t="s">
        <v>2</v>
      </c>
      <c r="L9" s="93"/>
      <c r="M9" s="94"/>
    </row>
    <row r="10" spans="1:13" s="30" customFormat="1" ht="12.75" customHeight="1" x14ac:dyDescent="0.2">
      <c r="A10" s="73"/>
      <c r="B10" s="95" t="s">
        <v>6</v>
      </c>
      <c r="C10" s="96"/>
      <c r="D10" s="97"/>
      <c r="E10" s="24">
        <v>0.05</v>
      </c>
      <c r="F10" s="25"/>
      <c r="G10" s="26"/>
      <c r="H10" s="27" t="s">
        <v>7</v>
      </c>
      <c r="I10" s="28">
        <v>2500</v>
      </c>
      <c r="J10" s="45"/>
      <c r="K10" s="27" t="s">
        <v>8</v>
      </c>
      <c r="L10" s="29">
        <v>3500</v>
      </c>
      <c r="M10" s="94"/>
    </row>
    <row r="11" spans="1:13" s="30" customFormat="1" ht="12.75" customHeight="1" x14ac:dyDescent="0.2">
      <c r="A11" s="73"/>
      <c r="B11" s="98" t="s">
        <v>9</v>
      </c>
      <c r="C11" s="99"/>
      <c r="D11" s="31">
        <v>1850</v>
      </c>
      <c r="E11" s="32">
        <f>D11*E10</f>
        <v>92.5</v>
      </c>
      <c r="F11" s="25"/>
      <c r="G11" s="26"/>
      <c r="H11" s="33" t="s">
        <v>10</v>
      </c>
      <c r="I11" s="32">
        <v>1100</v>
      </c>
      <c r="J11" s="45"/>
      <c r="K11" s="33" t="s">
        <v>11</v>
      </c>
      <c r="L11" s="34">
        <v>2500</v>
      </c>
      <c r="M11" s="94"/>
    </row>
    <row r="12" spans="1:13" s="30" customFormat="1" x14ac:dyDescent="0.2">
      <c r="A12" s="73"/>
      <c r="B12" s="98" t="s">
        <v>12</v>
      </c>
      <c r="C12" s="100"/>
      <c r="D12" s="99"/>
      <c r="E12" s="35"/>
      <c r="F12" s="25"/>
      <c r="G12" s="26"/>
      <c r="H12" s="33" t="s">
        <v>13</v>
      </c>
      <c r="I12" s="32">
        <v>950</v>
      </c>
      <c r="J12" s="45"/>
      <c r="K12" s="33" t="s">
        <v>14</v>
      </c>
      <c r="L12" s="34">
        <v>1200</v>
      </c>
      <c r="M12" s="94"/>
    </row>
    <row r="13" spans="1:13" s="30" customFormat="1" ht="12.75" customHeight="1" x14ac:dyDescent="0.2">
      <c r="A13" s="73"/>
      <c r="B13" s="98" t="s">
        <v>15</v>
      </c>
      <c r="C13" s="99"/>
      <c r="D13" s="31">
        <v>1500</v>
      </c>
      <c r="E13" s="35">
        <v>0.05</v>
      </c>
      <c r="F13" s="101"/>
      <c r="G13" s="94"/>
      <c r="H13" s="94"/>
      <c r="I13" s="94"/>
      <c r="J13" s="102"/>
      <c r="K13" s="33" t="s">
        <v>16</v>
      </c>
      <c r="L13" s="11"/>
      <c r="M13" s="94"/>
    </row>
    <row r="14" spans="1:13" s="8" customFormat="1" ht="12.75" customHeight="1" x14ac:dyDescent="0.2">
      <c r="A14" s="73"/>
      <c r="B14" s="94"/>
      <c r="C14" s="94"/>
      <c r="D14" s="94"/>
      <c r="E14" s="94"/>
      <c r="F14" s="94"/>
      <c r="G14" s="94"/>
      <c r="H14" s="94"/>
      <c r="I14" s="94"/>
      <c r="J14" s="94"/>
      <c r="K14" s="94"/>
      <c r="L14" s="94"/>
      <c r="M14" s="94"/>
    </row>
    <row r="15" spans="1:13" s="8" customFormat="1" ht="34.5" customHeight="1" x14ac:dyDescent="0.2">
      <c r="A15" s="73"/>
      <c r="B15" s="44" t="s">
        <v>53</v>
      </c>
      <c r="C15" s="103" t="s">
        <v>54</v>
      </c>
      <c r="D15" s="104"/>
      <c r="E15" s="105"/>
      <c r="F15" s="44" t="s">
        <v>55</v>
      </c>
      <c r="G15" s="44" t="s">
        <v>56</v>
      </c>
      <c r="H15" s="44" t="s">
        <v>57</v>
      </c>
      <c r="I15" s="44" t="s">
        <v>58</v>
      </c>
      <c r="J15" s="44" t="s">
        <v>59</v>
      </c>
      <c r="K15" s="44" t="s">
        <v>60</v>
      </c>
      <c r="L15" s="44" t="s">
        <v>61</v>
      </c>
      <c r="M15" s="44" t="s">
        <v>62</v>
      </c>
    </row>
    <row r="16" spans="1:13" s="8" customFormat="1" ht="12.75" customHeight="1" x14ac:dyDescent="0.2">
      <c r="A16" s="73"/>
      <c r="B16" s="13" t="s">
        <v>17</v>
      </c>
      <c r="C16" s="109" t="s">
        <v>18</v>
      </c>
      <c r="D16" s="110"/>
      <c r="E16" s="111"/>
      <c r="F16" s="14" t="s">
        <v>13</v>
      </c>
      <c r="G16" s="22">
        <f>IF(F16=$H$10,$I$10,IF(F16=$H$11,$I$11,$I$12))</f>
        <v>950</v>
      </c>
      <c r="H16" s="15">
        <v>2</v>
      </c>
      <c r="I16" s="22">
        <f>$E$11*H16</f>
        <v>185</v>
      </c>
      <c r="J16" s="36">
        <f>G16+I16</f>
        <v>1135</v>
      </c>
      <c r="K16" s="22">
        <f>IF(J16&gt;=$D$13,J16*0.05,0)</f>
        <v>0</v>
      </c>
      <c r="L16" s="37">
        <f>J16+K16</f>
        <v>1135</v>
      </c>
      <c r="M16" s="16" t="str">
        <f>IF(L16&gt;=$L$10,$K$10,IF(L16&gt;=$L$11,$K$11,IF(L16&gt;=$L$12,K$12,K$13)))</f>
        <v>MALO</v>
      </c>
    </row>
    <row r="17" spans="1:26" s="8" customFormat="1" ht="12.75" customHeight="1" x14ac:dyDescent="0.2">
      <c r="A17" s="73"/>
      <c r="B17" s="17" t="s">
        <v>19</v>
      </c>
      <c r="C17" s="112" t="s">
        <v>20</v>
      </c>
      <c r="D17" s="113"/>
      <c r="E17" s="114"/>
      <c r="F17" s="18" t="s">
        <v>7</v>
      </c>
      <c r="G17" s="22">
        <f t="shared" ref="G17:G27" si="0">IF(F17=$H$10,$I$10,IF(F17=$H$11,$I$11,$I$12))</f>
        <v>2500</v>
      </c>
      <c r="H17" s="19">
        <v>5</v>
      </c>
      <c r="I17" s="22">
        <f>$E$11*H17</f>
        <v>462.5</v>
      </c>
      <c r="J17" s="36">
        <f t="shared" ref="J17:J27" si="1">G17+I17</f>
        <v>2962.5</v>
      </c>
      <c r="K17" s="22">
        <f t="shared" ref="K17:K27" si="2">IF(J17&gt;=$D$13,J17*0.05,0)</f>
        <v>148.125</v>
      </c>
      <c r="L17" s="37">
        <f t="shared" ref="L17:L27" si="3">J17+K17</f>
        <v>3110.625</v>
      </c>
      <c r="M17" s="16" t="str">
        <f t="shared" ref="M17:M27" si="4">IF(L17&gt;=$L$10,$K$10,IF(L17&gt;=$L$11,$K$11,IF(L17&gt;=$L$12,K$12,K$13)))</f>
        <v>BUENO</v>
      </c>
    </row>
    <row r="18" spans="1:26" s="8" customFormat="1" x14ac:dyDescent="0.2">
      <c r="A18" s="73"/>
      <c r="B18" s="17" t="s">
        <v>21</v>
      </c>
      <c r="C18" s="112" t="s">
        <v>22</v>
      </c>
      <c r="D18" s="113"/>
      <c r="E18" s="114"/>
      <c r="F18" s="18" t="s">
        <v>13</v>
      </c>
      <c r="G18" s="22">
        <f t="shared" si="0"/>
        <v>950</v>
      </c>
      <c r="H18" s="19">
        <v>9</v>
      </c>
      <c r="I18" s="22">
        <f>$E$11*H18</f>
        <v>832.5</v>
      </c>
      <c r="J18" s="36">
        <f t="shared" si="1"/>
        <v>1782.5</v>
      </c>
      <c r="K18" s="22">
        <f t="shared" si="2"/>
        <v>89.125</v>
      </c>
      <c r="L18" s="37">
        <f t="shared" si="3"/>
        <v>1871.625</v>
      </c>
      <c r="M18" s="16" t="str">
        <f t="shared" si="4"/>
        <v>REGULAR</v>
      </c>
    </row>
    <row r="19" spans="1:26" s="8" customFormat="1" x14ac:dyDescent="0.2">
      <c r="A19" s="73"/>
      <c r="B19" s="17" t="s">
        <v>23</v>
      </c>
      <c r="C19" s="112" t="s">
        <v>24</v>
      </c>
      <c r="D19" s="113"/>
      <c r="E19" s="114"/>
      <c r="F19" s="18" t="s">
        <v>13</v>
      </c>
      <c r="G19" s="22">
        <f t="shared" si="0"/>
        <v>950</v>
      </c>
      <c r="H19" s="19">
        <v>5</v>
      </c>
      <c r="I19" s="22">
        <f>$E$11*H19</f>
        <v>462.5</v>
      </c>
      <c r="J19" s="36">
        <f t="shared" si="1"/>
        <v>1412.5</v>
      </c>
      <c r="K19" s="22">
        <f t="shared" si="2"/>
        <v>0</v>
      </c>
      <c r="L19" s="37">
        <f t="shared" si="3"/>
        <v>1412.5</v>
      </c>
      <c r="M19" s="16" t="str">
        <f t="shared" si="4"/>
        <v>REGULAR</v>
      </c>
    </row>
    <row r="20" spans="1:26" s="8" customFormat="1" x14ac:dyDescent="0.2">
      <c r="A20" s="73"/>
      <c r="B20" s="17" t="s">
        <v>25</v>
      </c>
      <c r="C20" s="112" t="s">
        <v>26</v>
      </c>
      <c r="D20" s="113"/>
      <c r="E20" s="114"/>
      <c r="F20" s="18" t="s">
        <v>13</v>
      </c>
      <c r="G20" s="22">
        <f t="shared" si="0"/>
        <v>950</v>
      </c>
      <c r="H20" s="19">
        <v>6</v>
      </c>
      <c r="I20" s="22">
        <f>$E$11*H20</f>
        <v>555</v>
      </c>
      <c r="J20" s="36">
        <f t="shared" si="1"/>
        <v>1505</v>
      </c>
      <c r="K20" s="22">
        <f t="shared" si="2"/>
        <v>75.25</v>
      </c>
      <c r="L20" s="37">
        <f t="shared" si="3"/>
        <v>1580.25</v>
      </c>
      <c r="M20" s="16" t="str">
        <f t="shared" si="4"/>
        <v>REGULAR</v>
      </c>
    </row>
    <row r="21" spans="1:26" s="8" customFormat="1" x14ac:dyDescent="0.2">
      <c r="A21" s="73"/>
      <c r="B21" s="17" t="s">
        <v>27</v>
      </c>
      <c r="C21" s="112" t="s">
        <v>28</v>
      </c>
      <c r="D21" s="113"/>
      <c r="E21" s="114"/>
      <c r="F21" s="18" t="s">
        <v>7</v>
      </c>
      <c r="G21" s="22">
        <f t="shared" si="0"/>
        <v>2500</v>
      </c>
      <c r="H21" s="19">
        <v>3</v>
      </c>
      <c r="I21" s="22">
        <f t="shared" ref="I21:I27" si="5">$E$11*H21</f>
        <v>277.5</v>
      </c>
      <c r="J21" s="36">
        <f t="shared" si="1"/>
        <v>2777.5</v>
      </c>
      <c r="K21" s="22">
        <f t="shared" si="2"/>
        <v>138.875</v>
      </c>
      <c r="L21" s="37">
        <f t="shared" si="3"/>
        <v>2916.375</v>
      </c>
      <c r="M21" s="16" t="str">
        <f t="shared" si="4"/>
        <v>BUENO</v>
      </c>
    </row>
    <row r="22" spans="1:26" s="8" customFormat="1" x14ac:dyDescent="0.2">
      <c r="A22" s="73"/>
      <c r="B22" s="17" t="s">
        <v>29</v>
      </c>
      <c r="C22" s="112" t="s">
        <v>30</v>
      </c>
      <c r="D22" s="113"/>
      <c r="E22" s="114"/>
      <c r="F22" s="18" t="s">
        <v>10</v>
      </c>
      <c r="G22" s="22">
        <f t="shared" si="0"/>
        <v>1100</v>
      </c>
      <c r="H22" s="19">
        <v>4</v>
      </c>
      <c r="I22" s="22">
        <f t="shared" si="5"/>
        <v>370</v>
      </c>
      <c r="J22" s="36">
        <f t="shared" si="1"/>
        <v>1470</v>
      </c>
      <c r="K22" s="22">
        <f t="shared" si="2"/>
        <v>0</v>
      </c>
      <c r="L22" s="37">
        <f t="shared" si="3"/>
        <v>1470</v>
      </c>
      <c r="M22" s="16" t="str">
        <f t="shared" si="4"/>
        <v>REGULAR</v>
      </c>
    </row>
    <row r="23" spans="1:26" s="8" customFormat="1" x14ac:dyDescent="0.2">
      <c r="A23" s="73"/>
      <c r="B23" s="17" t="s">
        <v>31</v>
      </c>
      <c r="C23" s="112" t="s">
        <v>32</v>
      </c>
      <c r="D23" s="113"/>
      <c r="E23" s="114"/>
      <c r="F23" s="18" t="s">
        <v>10</v>
      </c>
      <c r="G23" s="22">
        <f t="shared" si="0"/>
        <v>1100</v>
      </c>
      <c r="H23" s="19">
        <v>2</v>
      </c>
      <c r="I23" s="22">
        <f t="shared" si="5"/>
        <v>185</v>
      </c>
      <c r="J23" s="36">
        <f t="shared" si="1"/>
        <v>1285</v>
      </c>
      <c r="K23" s="22">
        <f t="shared" si="2"/>
        <v>0</v>
      </c>
      <c r="L23" s="37">
        <f t="shared" si="3"/>
        <v>1285</v>
      </c>
      <c r="M23" s="16" t="str">
        <f t="shared" si="4"/>
        <v>REGULAR</v>
      </c>
    </row>
    <row r="24" spans="1:26" s="8" customFormat="1" x14ac:dyDescent="0.2">
      <c r="A24" s="73"/>
      <c r="B24" s="17" t="s">
        <v>33</v>
      </c>
      <c r="C24" s="112" t="s">
        <v>34</v>
      </c>
      <c r="D24" s="113"/>
      <c r="E24" s="114"/>
      <c r="F24" s="18" t="s">
        <v>13</v>
      </c>
      <c r="G24" s="22">
        <f t="shared" si="0"/>
        <v>950</v>
      </c>
      <c r="H24" s="19">
        <v>1</v>
      </c>
      <c r="I24" s="22">
        <f t="shared" si="5"/>
        <v>92.5</v>
      </c>
      <c r="J24" s="36">
        <f t="shared" si="1"/>
        <v>1042.5</v>
      </c>
      <c r="K24" s="22">
        <f t="shared" si="2"/>
        <v>0</v>
      </c>
      <c r="L24" s="37">
        <f t="shared" si="3"/>
        <v>1042.5</v>
      </c>
      <c r="M24" s="16" t="str">
        <f t="shared" si="4"/>
        <v>MALO</v>
      </c>
    </row>
    <row r="25" spans="1:26" s="8" customFormat="1" x14ac:dyDescent="0.2">
      <c r="A25" s="73"/>
      <c r="B25" s="17" t="s">
        <v>35</v>
      </c>
      <c r="C25" s="112" t="s">
        <v>36</v>
      </c>
      <c r="D25" s="113"/>
      <c r="E25" s="114"/>
      <c r="F25" s="18" t="s">
        <v>13</v>
      </c>
      <c r="G25" s="22">
        <f t="shared" si="0"/>
        <v>950</v>
      </c>
      <c r="H25" s="19">
        <v>5</v>
      </c>
      <c r="I25" s="22">
        <f t="shared" si="5"/>
        <v>462.5</v>
      </c>
      <c r="J25" s="36">
        <f t="shared" si="1"/>
        <v>1412.5</v>
      </c>
      <c r="K25" s="22">
        <f t="shared" si="2"/>
        <v>0</v>
      </c>
      <c r="L25" s="37">
        <f t="shared" si="3"/>
        <v>1412.5</v>
      </c>
      <c r="M25" s="16" t="str">
        <f t="shared" si="4"/>
        <v>REGULAR</v>
      </c>
    </row>
    <row r="26" spans="1:26" s="8" customFormat="1" x14ac:dyDescent="0.2">
      <c r="A26" s="73"/>
      <c r="B26" s="17" t="s">
        <v>37</v>
      </c>
      <c r="C26" s="112" t="s">
        <v>38</v>
      </c>
      <c r="D26" s="113"/>
      <c r="E26" s="114"/>
      <c r="F26" s="18" t="s">
        <v>13</v>
      </c>
      <c r="G26" s="22">
        <f t="shared" si="0"/>
        <v>950</v>
      </c>
      <c r="H26" s="19">
        <v>6</v>
      </c>
      <c r="I26" s="22">
        <f t="shared" si="5"/>
        <v>555</v>
      </c>
      <c r="J26" s="36">
        <f t="shared" si="1"/>
        <v>1505</v>
      </c>
      <c r="K26" s="22">
        <f t="shared" si="2"/>
        <v>75.25</v>
      </c>
      <c r="L26" s="37">
        <f t="shared" si="3"/>
        <v>1580.25</v>
      </c>
      <c r="M26" s="16" t="str">
        <f t="shared" si="4"/>
        <v>REGULAR</v>
      </c>
    </row>
    <row r="27" spans="1:26" s="8" customFormat="1" x14ac:dyDescent="0.2">
      <c r="A27" s="73"/>
      <c r="B27" s="17" t="s">
        <v>39</v>
      </c>
      <c r="C27" s="112" t="s">
        <v>40</v>
      </c>
      <c r="D27" s="113"/>
      <c r="E27" s="114"/>
      <c r="F27" s="18" t="s">
        <v>13</v>
      </c>
      <c r="G27" s="22">
        <f t="shared" si="0"/>
        <v>950</v>
      </c>
      <c r="H27" s="19">
        <v>8</v>
      </c>
      <c r="I27" s="22">
        <f t="shared" si="5"/>
        <v>740</v>
      </c>
      <c r="J27" s="36">
        <f t="shared" si="1"/>
        <v>1690</v>
      </c>
      <c r="K27" s="22">
        <f t="shared" si="2"/>
        <v>84.5</v>
      </c>
      <c r="L27" s="37">
        <f t="shared" si="3"/>
        <v>1774.5</v>
      </c>
      <c r="M27" s="16" t="str">
        <f t="shared" si="4"/>
        <v>REGULAR</v>
      </c>
    </row>
    <row r="28" spans="1:26" s="8" customFormat="1" x14ac:dyDescent="0.2">
      <c r="A28" s="73"/>
      <c r="B28" s="118"/>
      <c r="C28" s="118"/>
      <c r="D28" s="118"/>
      <c r="E28" s="119"/>
      <c r="F28" s="20" t="s">
        <v>49</v>
      </c>
      <c r="G28" s="23">
        <f>SUM(G16:G27)</f>
        <v>14800</v>
      </c>
      <c r="H28" s="120">
        <v>5180</v>
      </c>
      <c r="I28" s="121"/>
      <c r="J28" s="23">
        <f>SUM(J16:J27)</f>
        <v>19980</v>
      </c>
      <c r="K28" s="20">
        <v>611.13</v>
      </c>
      <c r="L28" s="23">
        <f>SUM(L16:L27)</f>
        <v>20591.125</v>
      </c>
      <c r="M28" s="21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</row>
    <row r="29" spans="1:26" x14ac:dyDescent="0.2">
      <c r="A29" s="73"/>
      <c r="B29" s="122"/>
      <c r="C29" s="122"/>
      <c r="D29" s="122"/>
      <c r="E29" s="122"/>
      <c r="F29" s="122"/>
      <c r="G29" s="122"/>
      <c r="H29" s="122"/>
      <c r="I29" s="122"/>
      <c r="J29" s="122"/>
      <c r="K29" s="122"/>
      <c r="L29" s="122"/>
      <c r="M29" s="122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</row>
    <row r="30" spans="1:26" x14ac:dyDescent="0.2">
      <c r="A30" s="73"/>
      <c r="B30" s="123" t="s">
        <v>50</v>
      </c>
      <c r="C30" s="124"/>
      <c r="D30" s="124"/>
      <c r="E30" s="125"/>
      <c r="F30" s="50"/>
      <c r="G30" s="134" t="s">
        <v>3</v>
      </c>
      <c r="H30" s="134"/>
      <c r="I30" s="134"/>
      <c r="J30" s="134"/>
      <c r="K30" s="134"/>
      <c r="L30" s="134"/>
      <c r="M30" s="13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</row>
    <row r="31" spans="1:26" x14ac:dyDescent="0.2">
      <c r="A31" s="73"/>
      <c r="B31" s="4" t="s">
        <v>41</v>
      </c>
      <c r="C31" s="5"/>
      <c r="D31" s="1"/>
      <c r="E31" s="56">
        <f ca="1">SUMIF($F$16:$L$27,"SUPERVISOR",$L$16:$L$27)</f>
        <v>6027</v>
      </c>
      <c r="F31" s="50"/>
      <c r="G31" s="135" t="s">
        <v>4</v>
      </c>
      <c r="H31" s="135"/>
      <c r="I31" s="135"/>
      <c r="J31" s="135"/>
      <c r="K31" s="135"/>
      <c r="L31" s="135"/>
      <c r="M31" s="135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</row>
    <row r="32" spans="1:26" x14ac:dyDescent="0.2">
      <c r="A32" s="73"/>
      <c r="B32" s="4" t="s">
        <v>43</v>
      </c>
      <c r="C32" s="5"/>
      <c r="D32" s="1"/>
      <c r="E32" s="56">
        <f ca="1">SUMIF($F$16:$L$27,"PROMOTOR",$L$16:$L$27)</f>
        <v>2755</v>
      </c>
      <c r="F32" s="50"/>
      <c r="G32" s="25" t="s">
        <v>64</v>
      </c>
      <c r="J32" s="38"/>
      <c r="K32" s="38"/>
      <c r="L32" s="38"/>
      <c r="M32" s="38"/>
    </row>
    <row r="33" spans="1:26" x14ac:dyDescent="0.2">
      <c r="A33" s="73"/>
      <c r="B33" s="48" t="s">
        <v>45</v>
      </c>
      <c r="C33" s="49"/>
      <c r="D33" s="2"/>
      <c r="E33" s="57">
        <f ca="1">SUMIF($F$16:$L$27,"VENDEDOR",$L$16:$L$27)</f>
        <v>11809.125</v>
      </c>
      <c r="F33" s="50"/>
      <c r="G33" s="25" t="s">
        <v>65</v>
      </c>
      <c r="J33" s="38"/>
      <c r="K33" s="38"/>
      <c r="L33" s="38"/>
      <c r="M33" s="38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</row>
    <row r="34" spans="1:26" x14ac:dyDescent="0.2">
      <c r="A34" s="73"/>
      <c r="B34" s="127"/>
      <c r="C34" s="127"/>
      <c r="D34" s="127"/>
      <c r="E34" s="127"/>
      <c r="F34" s="127"/>
      <c r="G34" s="25" t="s">
        <v>66</v>
      </c>
      <c r="J34" s="39"/>
      <c r="K34" s="38"/>
      <c r="L34" s="38"/>
      <c r="M34" s="38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</row>
    <row r="35" spans="1:26" x14ac:dyDescent="0.2">
      <c r="A35" s="73"/>
      <c r="B35" s="115" t="s">
        <v>52</v>
      </c>
      <c r="C35" s="115"/>
      <c r="D35" s="3"/>
      <c r="E35" s="58">
        <f ca="1">SUM(E31:E33)</f>
        <v>20591.125</v>
      </c>
      <c r="F35" s="42"/>
      <c r="G35" s="25" t="s">
        <v>67</v>
      </c>
      <c r="J35" s="38"/>
      <c r="K35" s="38"/>
      <c r="L35" s="38"/>
      <c r="M35" s="38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</row>
    <row r="36" spans="1:26" ht="20.100000000000001" customHeight="1" x14ac:dyDescent="0.2">
      <c r="A36" s="73"/>
      <c r="B36" s="133"/>
      <c r="C36" s="133"/>
      <c r="D36" s="133"/>
      <c r="E36" s="133"/>
      <c r="F36" s="133"/>
      <c r="G36" s="25" t="s">
        <v>68</v>
      </c>
      <c r="H36" s="133"/>
      <c r="I36" s="133"/>
      <c r="J36" s="133"/>
      <c r="K36" s="133"/>
      <c r="L36" s="133"/>
      <c r="M36" s="133"/>
    </row>
    <row r="37" spans="1:26" x14ac:dyDescent="0.2">
      <c r="A37" s="73"/>
      <c r="B37" s="126" t="s">
        <v>51</v>
      </c>
      <c r="C37" s="126"/>
      <c r="D37" s="126"/>
      <c r="E37" s="132"/>
      <c r="F37" s="132"/>
      <c r="G37" s="25" t="s">
        <v>69</v>
      </c>
      <c r="H37" s="132"/>
      <c r="I37" s="132"/>
      <c r="J37" s="132"/>
      <c r="K37" s="132"/>
      <c r="L37" s="132"/>
      <c r="M37" s="13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</row>
    <row r="38" spans="1:26" x14ac:dyDescent="0.2">
      <c r="A38" s="73"/>
      <c r="B38" s="43" t="s">
        <v>42</v>
      </c>
      <c r="C38" s="6"/>
      <c r="D38" s="40">
        <f>COUNTIF($F$16:$F$27,"SUPERVISOR")</f>
        <v>2</v>
      </c>
      <c r="E38" s="132"/>
      <c r="F38" s="132"/>
      <c r="G38" s="59" t="s">
        <v>70</v>
      </c>
      <c r="H38" s="132"/>
      <c r="I38" s="132"/>
      <c r="J38" s="132"/>
      <c r="K38" s="132"/>
      <c r="L38" s="132"/>
      <c r="M38" s="132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</row>
    <row r="39" spans="1:26" x14ac:dyDescent="0.2">
      <c r="A39" s="130"/>
      <c r="B39" s="43" t="s">
        <v>44</v>
      </c>
      <c r="C39" s="6"/>
      <c r="D39" s="40">
        <f>COUNTIF($F$16:$F$27,"PROMOTOR")</f>
        <v>2</v>
      </c>
      <c r="E39" s="25"/>
      <c r="F39" s="25"/>
      <c r="G39" s="59" t="s">
        <v>71</v>
      </c>
      <c r="H39" s="25"/>
      <c r="I39" s="25"/>
      <c r="J39" s="25"/>
      <c r="K39" s="131"/>
      <c r="L39" s="131"/>
      <c r="M39" s="131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</row>
    <row r="40" spans="1:26" ht="12.75" customHeight="1" x14ac:dyDescent="0.2">
      <c r="A40" s="130"/>
      <c r="B40" s="43" t="s">
        <v>46</v>
      </c>
      <c r="C40" s="6"/>
      <c r="D40" s="40">
        <f>COUNTIF($F$16:$F$27,"VENDEDOR")</f>
        <v>8</v>
      </c>
      <c r="E40" s="25"/>
      <c r="F40" s="25"/>
      <c r="G40" s="59" t="s">
        <v>72</v>
      </c>
      <c r="H40" s="25"/>
      <c r="I40" s="25"/>
      <c r="J40" s="25"/>
      <c r="K40" s="25"/>
      <c r="L40" s="25"/>
      <c r="M40" s="25"/>
      <c r="N40" s="25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</row>
    <row r="41" spans="1:26" ht="12.75" customHeight="1" x14ac:dyDescent="0.2">
      <c r="A41" s="130"/>
      <c r="B41" s="128" t="s">
        <v>47</v>
      </c>
      <c r="C41" s="129"/>
      <c r="D41" s="47">
        <f>MAX(L16:L27)</f>
        <v>3110.625</v>
      </c>
      <c r="E41" s="25"/>
      <c r="F41" s="25"/>
      <c r="G41" s="59" t="s">
        <v>73</v>
      </c>
      <c r="H41" s="25"/>
      <c r="I41" s="25"/>
      <c r="J41" s="25"/>
      <c r="K41" s="25"/>
      <c r="L41" s="25"/>
      <c r="M41" s="25"/>
      <c r="N41" s="25"/>
    </row>
    <row r="42" spans="1:26" ht="12.75" customHeight="1" x14ac:dyDescent="0.2">
      <c r="A42" s="130"/>
      <c r="B42" s="116" t="s">
        <v>48</v>
      </c>
      <c r="C42" s="117"/>
      <c r="D42" s="22">
        <f>MIN(L16:L27)</f>
        <v>1042.5</v>
      </c>
      <c r="E42" s="25"/>
      <c r="F42" s="25"/>
      <c r="G42" s="25"/>
      <c r="H42" s="25"/>
      <c r="I42" s="25"/>
      <c r="J42" s="25"/>
      <c r="K42" s="25"/>
      <c r="L42" s="25"/>
      <c r="M42" s="25"/>
      <c r="N42" s="25"/>
    </row>
    <row r="43" spans="1:26" ht="12.75" customHeight="1" x14ac:dyDescent="0.2">
      <c r="A43" s="130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</row>
  </sheetData>
  <mergeCells count="51">
    <mergeCell ref="O38:Z38"/>
    <mergeCell ref="O39:Z39"/>
    <mergeCell ref="O40:Z40"/>
    <mergeCell ref="C24:E24"/>
    <mergeCell ref="C25:E25"/>
    <mergeCell ref="B35:C35"/>
    <mergeCell ref="B42:C42"/>
    <mergeCell ref="C26:E26"/>
    <mergeCell ref="C27:E27"/>
    <mergeCell ref="B28:E28"/>
    <mergeCell ref="H28:I28"/>
    <mergeCell ref="B29:M29"/>
    <mergeCell ref="B30:E30"/>
    <mergeCell ref="B37:D37"/>
    <mergeCell ref="B34:F34"/>
    <mergeCell ref="B41:C41"/>
    <mergeCell ref="G30:M30"/>
    <mergeCell ref="G31:M31"/>
    <mergeCell ref="C19:E19"/>
    <mergeCell ref="C20:E20"/>
    <mergeCell ref="C21:E21"/>
    <mergeCell ref="C22:E22"/>
    <mergeCell ref="C23:E23"/>
    <mergeCell ref="B1:M1"/>
    <mergeCell ref="B2:M2"/>
    <mergeCell ref="B9:E9"/>
    <mergeCell ref="H9:I9"/>
    <mergeCell ref="K9:L9"/>
    <mergeCell ref="M9:M13"/>
    <mergeCell ref="B10:D10"/>
    <mergeCell ref="B11:C11"/>
    <mergeCell ref="B12:D12"/>
    <mergeCell ref="B13:C13"/>
    <mergeCell ref="F13:J13"/>
    <mergeCell ref="C6:E6"/>
    <mergeCell ref="O35:Z35"/>
    <mergeCell ref="O29:Z29"/>
    <mergeCell ref="O30:Z30"/>
    <mergeCell ref="O31:Z31"/>
    <mergeCell ref="A3:A4"/>
    <mergeCell ref="A6:A7"/>
    <mergeCell ref="C7:E7"/>
    <mergeCell ref="C3:E3"/>
    <mergeCell ref="C4:E4"/>
    <mergeCell ref="O33:Z33"/>
    <mergeCell ref="O34:Z34"/>
    <mergeCell ref="B14:M14"/>
    <mergeCell ref="C15:E15"/>
    <mergeCell ref="C16:E16"/>
    <mergeCell ref="C17:E17"/>
    <mergeCell ref="C18:E18"/>
  </mergeCells>
  <conditionalFormatting sqref="M16:M27">
    <cfRule type="cellIs" dxfId="2" priority="3" operator="equal">
      <formula>"MALO"</formula>
    </cfRule>
  </conditionalFormatting>
  <conditionalFormatting sqref="M7">
    <cfRule type="cellIs" dxfId="1" priority="2" operator="equal">
      <formula>"MALO"</formula>
    </cfRule>
  </conditionalFormatting>
  <conditionalFormatting sqref="M4:M5">
    <cfRule type="cellIs" dxfId="0" priority="1" operator="equal">
      <formula>"MALO"</formula>
    </cfRule>
  </conditionalFormatting>
  <pageMargins left="0.7" right="0.7" top="0.75" bottom="0.75" header="0.3" footer="0.3"/>
  <pageSetup paperSize="9" orientation="portrait" r:id="rId1"/>
  <ignoredErrors>
    <ignoredError sqref="L16" evalError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Table 1</vt:lpstr>
      <vt:lpstr>'Table 1'!Criterios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DECOPROYECT</dc:creator>
  <cp:lastModifiedBy>user</cp:lastModifiedBy>
  <dcterms:created xsi:type="dcterms:W3CDTF">2023-05-26T00:57:18Z</dcterms:created>
  <dcterms:modified xsi:type="dcterms:W3CDTF">2023-05-30T03:28:23Z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reated">
    <vt:filetime>2023-05-25T00:00:00Z</vt:filetime>
  </property>
  <property fmtid="{D5CDD505-2E9C-101B-9397-08002B2CF9AE}" pid="3" name="Creator">
    <vt:lpwstr>Microsoft® Excel® 2016</vt:lpwstr>
  </property>
  <property fmtid="{D5CDD505-2E9C-101B-9397-08002B2CF9AE}" pid="4" name="LastSaved">
    <vt:filetime>2023-05-26T00:00:00Z</vt:filetime>
  </property>
  <property fmtid="{D5CDD505-2E9C-101B-9397-08002B2CF9AE}" pid="5" name="Producer">
    <vt:lpwstr>Microsoft® Excel® 2016</vt:lpwstr>
  </property>
</Properties>
</file>