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Jord\Idat\Hoja de Calculo I\ECU\"/>
    </mc:Choice>
  </mc:AlternateContent>
  <xr:revisionPtr revIDLastSave="0" documentId="13_ncr:1_{B7B70E3B-13EF-43F3-91D9-3717F40F3E98}" xr6:coauthVersionLast="37" xr6:coauthVersionMax="37" xr10:uidLastSave="{00000000-0000-0000-0000-000000000000}"/>
  <bookViews>
    <workbookView xWindow="0" yWindow="0" windowWidth="20490" windowHeight="7545" activeTab="3" xr2:uid="{00000000-000D-0000-FFFF-FFFF00000000}"/>
  </bookViews>
  <sheets>
    <sheet name="PRINCIPAL" sheetId="4" r:id="rId1"/>
    <sheet name="TABLA GENERAL" sheetId="1" r:id="rId2"/>
    <sheet name="ESTADISTICA 1" sheetId="6" r:id="rId3"/>
    <sheet name="REPORTE GENERAL" sheetId="5" r:id="rId4"/>
    <sheet name="Reporte" sheetId="2" r:id="rId5"/>
  </sheets>
  <definedNames>
    <definedName name="_xlnm._FilterDatabase" localSheetId="1" hidden="1">'TABLA GENERAL'!$B$20:$Q$40</definedName>
    <definedName name="_xlnm.Criteria" localSheetId="1">'TABLA GENERAL'!$B$16:$Q$17</definedName>
    <definedName name="DATOS">'TABLA GENERAL'!$B$21:$R$40</definedName>
    <definedName name="DATOS_EMPLEADOS">'TABLA GENERAL'!$B$21:$Q$36</definedName>
  </definedNames>
  <calcPr calcId="179021"/>
</workbook>
</file>

<file path=xl/calcChain.xml><?xml version="1.0" encoding="utf-8"?>
<calcChain xmlns="http://schemas.openxmlformats.org/spreadsheetml/2006/main">
  <c r="D14" i="2" l="1"/>
  <c r="D8" i="2"/>
  <c r="D9" i="2"/>
  <c r="D11" i="2"/>
  <c r="D7" i="2"/>
  <c r="C19" i="5"/>
  <c r="C18" i="5"/>
  <c r="C17" i="5"/>
  <c r="C16" i="5"/>
  <c r="C15" i="5"/>
  <c r="C14" i="5"/>
  <c r="C13" i="5"/>
  <c r="C12" i="5"/>
  <c r="C4" i="5"/>
  <c r="K24" i="1"/>
  <c r="K26" i="1"/>
  <c r="K29" i="1"/>
  <c r="K36" i="1"/>
  <c r="K40" i="1"/>
  <c r="L35" i="1"/>
  <c r="D16" i="2" s="1"/>
  <c r="L36" i="1"/>
  <c r="L37" i="1"/>
  <c r="L38" i="1"/>
  <c r="L39" i="1"/>
  <c r="L40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21" i="1"/>
  <c r="I21" i="1"/>
  <c r="O21" i="1" s="1"/>
  <c r="I22" i="1"/>
  <c r="O22" i="1" s="1"/>
  <c r="I23" i="1"/>
  <c r="I24" i="1"/>
  <c r="I25" i="1"/>
  <c r="N25" i="1" s="1"/>
  <c r="I26" i="1"/>
  <c r="N26" i="1" s="1"/>
  <c r="I27" i="1"/>
  <c r="N27" i="1" s="1"/>
  <c r="I28" i="1"/>
  <c r="N28" i="1" s="1"/>
  <c r="I29" i="1"/>
  <c r="F29" i="1" s="1"/>
  <c r="I30" i="1"/>
  <c r="O30" i="1" s="1"/>
  <c r="I31" i="1"/>
  <c r="I32" i="1"/>
  <c r="I33" i="1"/>
  <c r="N33" i="1" s="1"/>
  <c r="I34" i="1"/>
  <c r="N34" i="1" s="1"/>
  <c r="I35" i="1"/>
  <c r="N35" i="1" s="1"/>
  <c r="D18" i="2" s="1"/>
  <c r="I36" i="1"/>
  <c r="N36" i="1" s="1"/>
  <c r="I37" i="1"/>
  <c r="F37" i="1" s="1"/>
  <c r="I38" i="1"/>
  <c r="O38" i="1" s="1"/>
  <c r="I39" i="1"/>
  <c r="K39" i="1" s="1"/>
  <c r="I40" i="1"/>
  <c r="D13" i="2" l="1"/>
  <c r="C7" i="5"/>
  <c r="C6" i="5"/>
  <c r="C8" i="5"/>
  <c r="M31" i="1"/>
  <c r="M23" i="1"/>
  <c r="K23" i="1"/>
  <c r="H34" i="1"/>
  <c r="H23" i="1"/>
  <c r="K25" i="1"/>
  <c r="H33" i="1"/>
  <c r="K38" i="1"/>
  <c r="H31" i="1"/>
  <c r="H30" i="1"/>
  <c r="M40" i="1"/>
  <c r="M32" i="1"/>
  <c r="M24" i="1"/>
  <c r="M21" i="1"/>
  <c r="K32" i="1"/>
  <c r="K22" i="1"/>
  <c r="H27" i="1"/>
  <c r="M39" i="1"/>
  <c r="M37" i="1"/>
  <c r="K31" i="1"/>
  <c r="H39" i="1"/>
  <c r="H25" i="1"/>
  <c r="M33" i="1"/>
  <c r="K30" i="1"/>
  <c r="H38" i="1"/>
  <c r="M29" i="1"/>
  <c r="H35" i="1"/>
  <c r="D12" i="2" s="1"/>
  <c r="H22" i="1"/>
  <c r="M35" i="1"/>
  <c r="D17" i="2" s="1"/>
  <c r="M27" i="1"/>
  <c r="M34" i="1"/>
  <c r="M25" i="1"/>
  <c r="K37" i="1"/>
  <c r="H21" i="1"/>
  <c r="H32" i="1"/>
  <c r="H24" i="1"/>
  <c r="K28" i="1"/>
  <c r="K35" i="1"/>
  <c r="D15" i="2" s="1"/>
  <c r="K27" i="1"/>
  <c r="M22" i="1"/>
  <c r="K34" i="1"/>
  <c r="H37" i="1"/>
  <c r="H29" i="1"/>
  <c r="M26" i="1"/>
  <c r="M36" i="1"/>
  <c r="M28" i="1"/>
  <c r="H26" i="1"/>
  <c r="M38" i="1"/>
  <c r="M30" i="1"/>
  <c r="K21" i="1"/>
  <c r="K33" i="1"/>
  <c r="H36" i="1"/>
  <c r="H28" i="1"/>
  <c r="F40" i="1"/>
  <c r="N32" i="1"/>
  <c r="F36" i="1"/>
  <c r="H40" i="1"/>
  <c r="N24" i="1"/>
  <c r="O37" i="1"/>
  <c r="F28" i="1"/>
  <c r="F32" i="1"/>
  <c r="F24" i="1"/>
  <c r="O29" i="1"/>
  <c r="F34" i="1"/>
  <c r="F26" i="1"/>
  <c r="N31" i="1"/>
  <c r="N23" i="1"/>
  <c r="O36" i="1"/>
  <c r="O28" i="1"/>
  <c r="F27" i="1"/>
  <c r="F21" i="1"/>
  <c r="F33" i="1"/>
  <c r="F25" i="1"/>
  <c r="N38" i="1"/>
  <c r="N30" i="1"/>
  <c r="N22" i="1"/>
  <c r="O35" i="1"/>
  <c r="D19" i="2" s="1"/>
  <c r="O27" i="1"/>
  <c r="N37" i="1"/>
  <c r="N29" i="1"/>
  <c r="N40" i="1"/>
  <c r="O34" i="1"/>
  <c r="O26" i="1"/>
  <c r="F35" i="1"/>
  <c r="D10" i="2" s="1"/>
  <c r="F39" i="1"/>
  <c r="F31" i="1"/>
  <c r="F23" i="1"/>
  <c r="N39" i="1"/>
  <c r="O33" i="1"/>
  <c r="O25" i="1"/>
  <c r="F38" i="1"/>
  <c r="F30" i="1"/>
  <c r="F22" i="1"/>
  <c r="O40" i="1"/>
  <c r="O32" i="1"/>
  <c r="O24" i="1"/>
  <c r="O39" i="1"/>
  <c r="O31" i="1"/>
  <c r="O23" i="1"/>
  <c r="N21" i="1"/>
  <c r="D9" i="1"/>
  <c r="D10" i="1"/>
  <c r="L41" i="1" l="1"/>
  <c r="P21" i="1"/>
  <c r="Q21" i="1" s="1"/>
  <c r="M41" i="1"/>
  <c r="J41" i="1"/>
  <c r="S21" i="1" l="1"/>
  <c r="R21" i="1"/>
  <c r="R28" i="1" l="1"/>
  <c r="R23" i="1"/>
  <c r="R35" i="1"/>
  <c r="R25" i="1"/>
  <c r="R26" i="1"/>
  <c r="R39" i="1"/>
  <c r="R38" i="1"/>
  <c r="R36" i="1"/>
  <c r="I41" i="1"/>
  <c r="R22" i="1"/>
  <c r="R37" i="1"/>
  <c r="R30" i="1"/>
  <c r="R40" i="1"/>
  <c r="R29" i="1"/>
  <c r="R33" i="1"/>
  <c r="R31" i="1"/>
  <c r="D22" i="2" s="1"/>
  <c r="R24" i="1"/>
  <c r="P37" i="1"/>
  <c r="Q37" i="1" s="1"/>
  <c r="S37" i="1" s="1"/>
  <c r="R27" i="1"/>
  <c r="R34" i="1"/>
  <c r="R32" i="1"/>
  <c r="P35" i="1"/>
  <c r="P32" i="1"/>
  <c r="Q32" i="1" s="1"/>
  <c r="P36" i="1"/>
  <c r="Q36" i="1" s="1"/>
  <c r="S36" i="1" s="1"/>
  <c r="N41" i="1"/>
  <c r="P24" i="1"/>
  <c r="Q24" i="1" s="1"/>
  <c r="P31" i="1"/>
  <c r="P38" i="1"/>
  <c r="Q38" i="1" s="1"/>
  <c r="S38" i="1" s="1"/>
  <c r="P39" i="1"/>
  <c r="Q39" i="1" s="1"/>
  <c r="S39" i="1" s="1"/>
  <c r="P40" i="1"/>
  <c r="Q40" i="1" s="1"/>
  <c r="S40" i="1" s="1"/>
  <c r="O41" i="1"/>
  <c r="P29" i="1"/>
  <c r="Q29" i="1" s="1"/>
  <c r="S29" i="1" s="1"/>
  <c r="P26" i="1"/>
  <c r="Q26" i="1" s="1"/>
  <c r="S26" i="1" s="1"/>
  <c r="P34" i="1"/>
  <c r="Q34" i="1" s="1"/>
  <c r="S34" i="1" s="1"/>
  <c r="P23" i="1"/>
  <c r="Q23" i="1" s="1"/>
  <c r="Q35" i="1" l="1"/>
  <c r="D20" i="2"/>
  <c r="S32" i="1"/>
  <c r="C29" i="5"/>
  <c r="S24" i="1"/>
  <c r="S23" i="1"/>
  <c r="C28" i="5"/>
  <c r="Q31" i="1"/>
  <c r="P30" i="1"/>
  <c r="Q30" i="1" s="1"/>
  <c r="K41" i="1"/>
  <c r="P33" i="1"/>
  <c r="Q33" i="1" s="1"/>
  <c r="S33" i="1" s="1"/>
  <c r="P28" i="1"/>
  <c r="Q28" i="1" s="1"/>
  <c r="P27" i="1"/>
  <c r="Q27" i="1" s="1"/>
  <c r="P25" i="1"/>
  <c r="C25" i="5" l="1"/>
  <c r="S35" i="1"/>
  <c r="D21" i="2"/>
  <c r="S27" i="1"/>
  <c r="C24" i="5"/>
  <c r="S28" i="1"/>
  <c r="C23" i="5"/>
  <c r="S30" i="1"/>
  <c r="C27" i="5"/>
  <c r="S31" i="1"/>
  <c r="Q25" i="1"/>
  <c r="H41" i="1"/>
  <c r="P22" i="1"/>
  <c r="S25" i="1" l="1"/>
  <c r="C30" i="5"/>
  <c r="Q22" i="1"/>
  <c r="P41" i="1"/>
  <c r="C26" i="5" l="1"/>
  <c r="C5" i="5"/>
  <c r="S22" i="1"/>
  <c r="Q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12" authorId="0" shapeId="0" xr:uid="{56C1FE2D-7DFE-419B-BB65-8A6A073B5392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Todo empleado tendrá un incremento del 8% por cada hijo, o “escolaridad”. ¡Calcular! </t>
        </r>
      </text>
    </comment>
    <comment ref="H16" authorId="0" shapeId="0" xr:uid="{8827C5BC-3A9A-4CBD-A7C9-38301D2EE4BB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Todo empleado tendrá un incremento del 8% por cada hijo, o “escolaridad”. ¡Calcular! </t>
        </r>
      </text>
    </comment>
  </commentList>
</comments>
</file>

<file path=xl/sharedStrings.xml><?xml version="1.0" encoding="utf-8"?>
<sst xmlns="http://schemas.openxmlformats.org/spreadsheetml/2006/main" count="178" uniqueCount="88">
  <si>
    <t>Administrador</t>
  </si>
  <si>
    <t>HORA ACTUAL</t>
  </si>
  <si>
    <t>FECHA ACTUAL</t>
  </si>
  <si>
    <t>COD</t>
  </si>
  <si>
    <t>TOTAL DSCTOS</t>
  </si>
  <si>
    <t>NETO MENSUAL</t>
  </si>
  <si>
    <t>OSERVACION</t>
  </si>
  <si>
    <t>CUADRO DE REPORTE</t>
  </si>
  <si>
    <t>ESTADISTICA GENRAL</t>
  </si>
  <si>
    <t>N.º DE NUMERO DE TRABAJADORES</t>
  </si>
  <si>
    <t>PROMEDIO DE GASTOS MENSUAL</t>
  </si>
  <si>
    <t>MAYOR SUELDO</t>
  </si>
  <si>
    <t>MENOR SUELDO</t>
  </si>
  <si>
    <t>EGRESOS DE PLANILLA</t>
  </si>
  <si>
    <t>Calcular y Contabilizar el Número de Trabajadores por</t>
  </si>
  <si>
    <t>Especialidad</t>
  </si>
  <si>
    <t>Calcular Estadísticamente los Pagos y/o Egresos por</t>
  </si>
  <si>
    <t>PAGO MENSUAL</t>
  </si>
  <si>
    <t>Aliaga Dueñas, Rony</t>
  </si>
  <si>
    <t>Antuares Lopez, Lizeth</t>
  </si>
  <si>
    <t>Baldez Gutierrez, Norma</t>
  </si>
  <si>
    <t>Benites Antuares, Pablo</t>
  </si>
  <si>
    <t>Bermudes Sarmiento, Tony</t>
  </si>
  <si>
    <t>Caceres Aliaga, Jose</t>
  </si>
  <si>
    <t>Dueñas Vaca, Vilma</t>
  </si>
  <si>
    <t>Espinoza Bermudes, Arnold</t>
  </si>
  <si>
    <t>Garcia Manrique, Lourdes</t>
  </si>
  <si>
    <t>Gutierrez Rosales, Alonso</t>
  </si>
  <si>
    <t>Lopez Mendoza, Nidia</t>
  </si>
  <si>
    <t>Manrique Quispe, Piero</t>
  </si>
  <si>
    <t>Mendoza Benites, Juan</t>
  </si>
  <si>
    <t>Quispe Baldez, David</t>
  </si>
  <si>
    <t>Rios Suarez, Oscar</t>
  </si>
  <si>
    <t>Rosales Espinoza, Luis</t>
  </si>
  <si>
    <t>Salazar Salazar, Ruben</t>
  </si>
  <si>
    <t>Sarmiento Garcia, Richard</t>
  </si>
  <si>
    <t>Suarez Rios, Alfredo</t>
  </si>
  <si>
    <t>Vaca Caceres, Robert</t>
  </si>
  <si>
    <t>Ing. Civil</t>
  </si>
  <si>
    <t>Arquitecto</t>
  </si>
  <si>
    <t>Operario</t>
  </si>
  <si>
    <t>Secretaria</t>
  </si>
  <si>
    <t>Peón</t>
  </si>
  <si>
    <t>Maestro de Obra</t>
  </si>
  <si>
    <t>Supervisor de Obra</t>
  </si>
  <si>
    <t>DIAS FIJAS SEMANALES</t>
  </si>
  <si>
    <t>DSCTO DIA NO TRABAJADA</t>
  </si>
  <si>
    <t>BONIFICACION POR DIA EXTRA</t>
  </si>
  <si>
    <t>DSCTO ONP</t>
  </si>
  <si>
    <t>DSCTO FONAVI</t>
  </si>
  <si>
    <t>Estable</t>
  </si>
  <si>
    <t>Contratado</t>
  </si>
  <si>
    <t>Eventual</t>
  </si>
  <si>
    <t>ESTADO DEL EMPLEADO</t>
  </si>
  <si>
    <t>DSCTO DE DIA</t>
  </si>
  <si>
    <t>ESCOLARIDAD</t>
  </si>
  <si>
    <t>BONIFICACION</t>
  </si>
  <si>
    <t>DIAS TRABAJADOS</t>
  </si>
  <si>
    <t>PROFESION</t>
  </si>
  <si>
    <t>Nº DE HIJOS</t>
  </si>
  <si>
    <t>DIAS EXTRAS</t>
  </si>
  <si>
    <t>PGO x DIA EXTRA</t>
  </si>
  <si>
    <t>DIAS NO LABORADOS</t>
  </si>
  <si>
    <t>BONIFICACION 3mil</t>
  </si>
  <si>
    <t>FILTRO 1</t>
  </si>
  <si>
    <t>FILTRO 2</t>
  </si>
  <si>
    <t>ENTER</t>
  </si>
  <si>
    <t>EMPLEADO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</si>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</sst>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S/&quot;* #,##0.00_-;\-&quot;S/&quot;* #,##0.00_-;_-&quot;S/&quot;* &quot;-&quot;??_-;_-@_-"/>
    <numFmt numFmtId="165" formatCode="_-[$S/-280A]\ * #,##0.00_-;\-[$S/-280A]\ * #,##0.00_-;_-[$S/-280A]\ * &quot;-&quot;??_-;_-@_-"/>
    <numFmt numFmtId="166" formatCode="[$-F800]dddd\,\ mmmm\ dd\,\ yyyy"/>
    <numFmt numFmtId="167" formatCode="[$-409]h:mm\ AM/PM;@"/>
    <numFmt numFmtId="168" formatCode="_ [$S/-C6B]\ * #,##0.00_ ;_ [$S/-C6B]\ * \-#,##0.00_ ;_ [$S/-C6B]\ * &quot;-&quot;??_ ;_ @_ "/>
  </numFmts>
  <fonts count="1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b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89999084444715716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2" xfId="0" applyFont="1" applyBorder="1"/>
    <xf numFmtId="0" fontId="8" fillId="0" borderId="3" xfId="0" applyFont="1" applyBorder="1"/>
    <xf numFmtId="0" fontId="8" fillId="0" borderId="4" xfId="0" applyNumberFormat="1" applyFont="1" applyBorder="1"/>
    <xf numFmtId="168" fontId="8" fillId="0" borderId="5" xfId="1" applyNumberFormat="1" applyFont="1" applyBorder="1"/>
    <xf numFmtId="2" fontId="8" fillId="0" borderId="0" xfId="0" applyNumberFormat="1" applyFont="1"/>
    <xf numFmtId="1" fontId="8" fillId="0" borderId="0" xfId="0" applyNumberFormat="1" applyFont="1"/>
    <xf numFmtId="166" fontId="8" fillId="0" borderId="0" xfId="0" applyNumberFormat="1" applyFont="1"/>
    <xf numFmtId="0" fontId="8" fillId="0" borderId="6" xfId="0" applyNumberFormat="1" applyFont="1" applyBorder="1"/>
    <xf numFmtId="168" fontId="8" fillId="0" borderId="7" xfId="1" applyNumberFormat="1" applyFont="1" applyBorder="1"/>
    <xf numFmtId="165" fontId="4" fillId="0" borderId="0" xfId="0" applyNumberFormat="1" applyFont="1"/>
    <xf numFmtId="1" fontId="8" fillId="0" borderId="0" xfId="0" applyNumberFormat="1" applyFont="1" applyAlignment="1">
      <alignment horizontal="center"/>
    </xf>
    <xf numFmtId="165" fontId="8" fillId="0" borderId="0" xfId="0" applyNumberFormat="1" applyFont="1"/>
    <xf numFmtId="0" fontId="8" fillId="0" borderId="0" xfId="0" applyNumberFormat="1" applyFont="1" applyAlignment="1">
      <alignment horizontal="center"/>
    </xf>
    <xf numFmtId="168" fontId="4" fillId="0" borderId="0" xfId="1" applyNumberFormat="1" applyFont="1"/>
    <xf numFmtId="0" fontId="4" fillId="0" borderId="0" xfId="0" applyNumberFormat="1" applyFont="1"/>
    <xf numFmtId="2" fontId="4" fillId="0" borderId="0" xfId="0" applyNumberFormat="1" applyFont="1"/>
    <xf numFmtId="4" fontId="4" fillId="0" borderId="0" xfId="0" applyNumberFormat="1" applyFont="1"/>
    <xf numFmtId="4" fontId="8" fillId="0" borderId="0" xfId="0" applyNumberFormat="1" applyFont="1"/>
    <xf numFmtId="168" fontId="8" fillId="0" borderId="0" xfId="0" applyNumberFormat="1" applyFont="1"/>
    <xf numFmtId="0" fontId="8" fillId="6" borderId="1" xfId="0" applyNumberFormat="1" applyFont="1" applyFill="1" applyBorder="1" applyAlignment="1">
      <alignment horizontal="center" vertical="center"/>
    </xf>
    <xf numFmtId="164" fontId="8" fillId="6" borderId="1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0" fontId="10" fillId="11" borderId="0" xfId="0" applyNumberFormat="1" applyFont="1" applyFill="1" applyAlignment="1">
      <alignment horizontal="center" vertical="center" wrapText="1"/>
    </xf>
    <xf numFmtId="0" fontId="10" fillId="9" borderId="0" xfId="0" applyNumberFormat="1" applyFont="1" applyFill="1" applyAlignment="1">
      <alignment horizontal="center" vertical="center" wrapText="1"/>
    </xf>
    <xf numFmtId="0" fontId="10" fillId="10" borderId="0" xfId="0" applyNumberFormat="1" applyFont="1" applyFill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12" borderId="0" xfId="0" applyNumberFormat="1" applyFont="1" applyFill="1" applyAlignment="1">
      <alignment horizontal="center" vertical="center" wrapText="1"/>
    </xf>
    <xf numFmtId="165" fontId="5" fillId="3" borderId="0" xfId="0" applyNumberFormat="1" applyFont="1" applyFill="1"/>
    <xf numFmtId="1" fontId="5" fillId="3" borderId="0" xfId="0" applyNumberFormat="1" applyFont="1" applyFill="1" applyAlignment="1">
      <alignment horizontal="center"/>
    </xf>
    <xf numFmtId="0" fontId="1" fillId="7" borderId="1" xfId="0" applyNumberFormat="1" applyFont="1" applyFill="1" applyBorder="1" applyAlignment="1">
      <alignment vertical="center" wrapText="1"/>
    </xf>
    <xf numFmtId="0" fontId="8" fillId="5" borderId="0" xfId="0" applyNumberFormat="1" applyFont="1" applyFill="1" applyBorder="1" applyAlignment="1">
      <alignment vertical="center"/>
    </xf>
    <xf numFmtId="0" fontId="8" fillId="0" borderId="0" xfId="0" applyNumberFormat="1" applyFont="1" applyBorder="1"/>
    <xf numFmtId="168" fontId="8" fillId="0" borderId="0" xfId="1" applyNumberFormat="1" applyFont="1" applyBorder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8" fillId="8" borderId="2" xfId="0" applyNumberFormat="1" applyFont="1" applyFill="1" applyBorder="1"/>
    <xf numFmtId="9" fontId="8" fillId="0" borderId="3" xfId="0" applyNumberFormat="1" applyFont="1" applyBorder="1"/>
    <xf numFmtId="0" fontId="8" fillId="8" borderId="6" xfId="0" applyNumberFormat="1" applyFont="1" applyFill="1" applyBorder="1"/>
    <xf numFmtId="9" fontId="8" fillId="0" borderId="7" xfId="0" applyNumberFormat="1" applyFont="1" applyBorder="1"/>
    <xf numFmtId="0" fontId="8" fillId="0" borderId="10" xfId="0" applyNumberFormat="1" applyFont="1" applyBorder="1"/>
    <xf numFmtId="164" fontId="8" fillId="0" borderId="11" xfId="1" applyFont="1" applyBorder="1" applyAlignment="1">
      <alignment horizontal="center"/>
    </xf>
    <xf numFmtId="0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12" fillId="8" borderId="8" xfId="0" applyNumberFormat="1" applyFont="1" applyFill="1" applyBorder="1"/>
    <xf numFmtId="9" fontId="12" fillId="0" borderId="9" xfId="0" applyNumberFormat="1" applyFont="1" applyBorder="1"/>
    <xf numFmtId="0" fontId="12" fillId="8" borderId="10" xfId="0" applyNumberFormat="1" applyFont="1" applyFill="1" applyBorder="1"/>
    <xf numFmtId="9" fontId="12" fillId="0" borderId="11" xfId="0" applyNumberFormat="1" applyFont="1" applyBorder="1"/>
    <xf numFmtId="1" fontId="12" fillId="0" borderId="11" xfId="0" applyNumberFormat="1" applyFont="1" applyBorder="1"/>
    <xf numFmtId="167" fontId="12" fillId="0" borderId="11" xfId="0" applyNumberFormat="1" applyFont="1" applyBorder="1"/>
    <xf numFmtId="0" fontId="12" fillId="8" borderId="12" xfId="0" applyNumberFormat="1" applyFont="1" applyFill="1" applyBorder="1"/>
    <xf numFmtId="166" fontId="12" fillId="0" borderId="13" xfId="0" applyNumberFormat="1" applyFont="1" applyBorder="1"/>
    <xf numFmtId="0" fontId="10" fillId="11" borderId="2" xfId="0" applyNumberFormat="1" applyFont="1" applyFill="1" applyBorder="1" applyAlignment="1">
      <alignment horizontal="center" vertical="center" wrapText="1"/>
    </xf>
    <xf numFmtId="0" fontId="10" fillId="11" borderId="14" xfId="0" applyNumberFormat="1" applyFont="1" applyFill="1" applyBorder="1" applyAlignment="1">
      <alignment horizontal="center" vertical="center" wrapText="1"/>
    </xf>
    <xf numFmtId="0" fontId="10" fillId="10" borderId="14" xfId="0" applyNumberFormat="1" applyFont="1" applyFill="1" applyBorder="1" applyAlignment="1">
      <alignment horizontal="center" vertical="center" wrapText="1"/>
    </xf>
    <xf numFmtId="0" fontId="10" fillId="9" borderId="14" xfId="0" applyNumberFormat="1" applyFont="1" applyFill="1" applyBorder="1" applyAlignment="1">
      <alignment horizontal="center" vertical="center" wrapText="1"/>
    </xf>
    <xf numFmtId="0" fontId="10" fillId="12" borderId="14" xfId="0" applyNumberFormat="1" applyFont="1" applyFill="1" applyBorder="1" applyAlignment="1">
      <alignment horizontal="center" vertical="center" wrapText="1"/>
    </xf>
    <xf numFmtId="0" fontId="10" fillId="12" borderId="3" xfId="0" applyNumberFormat="1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15" xfId="0" applyNumberFormat="1" applyFont="1" applyBorder="1" applyAlignment="1">
      <alignment horizontal="center" vertical="center"/>
    </xf>
    <xf numFmtId="166" fontId="8" fillId="0" borderId="1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68" fontId="8" fillId="0" borderId="15" xfId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165" fontId="17" fillId="13" borderId="0" xfId="0" applyNumberFormat="1" applyFont="1" applyFill="1" applyAlignment="1">
      <alignment horizontal="center" vertical="center"/>
    </xf>
    <xf numFmtId="0" fontId="14" fillId="14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165" fontId="14" fillId="12" borderId="0" xfId="0" applyNumberFormat="1" applyFont="1" applyFill="1" applyAlignment="1">
      <alignment horizontal="center" vertical="center"/>
    </xf>
    <xf numFmtId="0" fontId="3" fillId="3" borderId="8" xfId="0" applyNumberFormat="1" applyFont="1" applyFill="1" applyBorder="1" applyAlignment="1">
      <alignment horizontal="center"/>
    </xf>
    <xf numFmtId="0" fontId="3" fillId="3" borderId="9" xfId="0" applyNumberFormat="1" applyFont="1" applyFill="1" applyBorder="1" applyAlignment="1">
      <alignment horizontal="center"/>
    </xf>
    <xf numFmtId="0" fontId="3" fillId="4" borderId="0" xfId="0" applyNumberFormat="1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/>
    </xf>
    <xf numFmtId="0" fontId="3" fillId="3" borderId="0" xfId="0" applyNumberFormat="1" applyFont="1" applyFill="1" applyAlignment="1">
      <alignment horizontal="center" vertical="top"/>
    </xf>
    <xf numFmtId="0" fontId="3" fillId="3" borderId="0" xfId="0" applyNumberFormat="1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24"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002060"/>
        </patternFill>
      </fill>
    </dxf>
    <dxf>
      <font>
        <color auto="1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_ [$S/-C6B]\ * #,##0.00_ ;_ [$S/-C6B]\ * \-#,##0.00_ ;_ [$S/-C6B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_ [$S/-C6B]\ * #,##0.00_ ;_ [$S/-C6B]\ * \-#,##0.00_ ;_ [$S/-C6B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_ [$S/-C6B]\ * #,##0.00_ ;_ [$S/-C6B]\ * \-#,##0.00_ ;_ [$S/-C6B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_ [$S/-C6B]\ * #,##0.00_ ;_ [$S/-C6B]\ * \-#,##0.00_ ;_ [$S/-C6B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_ [$S/-C6B]\ * #,##0.00_ ;_ [$S/-C6B]\ * \-#,##0.00_ ;_ [$S/-C6B]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[$S/-280A]\ * #,##0.00_-;\-[$S/-280A]\ * #,##0.00_-;_-[$S/-280A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[$S/-280A]\ * #,##0.00_-;\-[$S/-280A]\ * #,##0.00_-;_-[$S/-280A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5" formatCode="_-[$S/-280A]\ * #,##0.00_-;\-[$S/-280A]\ * #,##0.00_-;_-[$S/-280A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5" formatCode="_-[$S/-280A]\ * #,##0.00_-;\-[$S/-280A]\ * #,##0.00_-;_-[$S/-280A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center" textRotation="0" wrapText="1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002060"/>
        </patternFill>
      </fill>
    </dxf>
    <dxf>
      <font>
        <color auto="1"/>
      </font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 ESTADISTICA NETO MENSUAL POR 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 GENERAL'!$Q$20</c:f>
              <c:strCache>
                <c:ptCount val="1"/>
                <c:pt idx="0">
                  <c:v>NETO MENSUAL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GENERAL'!$E$20:$E$40</c:f>
              <c:strCache>
                <c:ptCount val="21"/>
                <c:pt idx="0">
                  <c:v>PROFESION</c:v>
                </c:pt>
                <c:pt idx="1">
                  <c:v>Peón</c:v>
                </c:pt>
                <c:pt idx="2">
                  <c:v>Operario</c:v>
                </c:pt>
                <c:pt idx="3">
                  <c:v>Peón</c:v>
                </c:pt>
                <c:pt idx="4">
                  <c:v>Arquitecto</c:v>
                </c:pt>
                <c:pt idx="5">
                  <c:v>Supervisor de Obra</c:v>
                </c:pt>
                <c:pt idx="6">
                  <c:v>Arquitecto</c:v>
                </c:pt>
                <c:pt idx="7">
                  <c:v>Ing. Civil</c:v>
                </c:pt>
                <c:pt idx="8">
                  <c:v>Administrador</c:v>
                </c:pt>
                <c:pt idx="9">
                  <c:v>Administrador</c:v>
                </c:pt>
                <c:pt idx="10">
                  <c:v>Secretaria</c:v>
                </c:pt>
                <c:pt idx="11">
                  <c:v>Secretaria</c:v>
                </c:pt>
                <c:pt idx="12">
                  <c:v>Maestro de Obra</c:v>
                </c:pt>
                <c:pt idx="13">
                  <c:v>Arquitecto</c:v>
                </c:pt>
                <c:pt idx="14">
                  <c:v>Operario</c:v>
                </c:pt>
                <c:pt idx="15">
                  <c:v>Operario</c:v>
                </c:pt>
                <c:pt idx="16">
                  <c:v>Ing. Civil</c:v>
                </c:pt>
                <c:pt idx="17">
                  <c:v>Peón</c:v>
                </c:pt>
                <c:pt idx="18">
                  <c:v>Peón</c:v>
                </c:pt>
                <c:pt idx="19">
                  <c:v>Maestro de Obra</c:v>
                </c:pt>
                <c:pt idx="20">
                  <c:v>Peón</c:v>
                </c:pt>
              </c:strCache>
            </c:strRef>
          </c:cat>
          <c:val>
            <c:numRef>
              <c:f>'TABLA GENERAL'!$Q$20:$Q$40</c:f>
              <c:numCache>
                <c:formatCode>_ [$S/-C6B]\ * #,##0.00_ ;_ [$S/-C6B]\ * \-#,##0.00_ ;_ [$S/-C6B]\ * "-"??_ ;_ @_ </c:formatCode>
                <c:ptCount val="21"/>
                <c:pt idx="0" formatCode="General">
                  <c:v>0</c:v>
                </c:pt>
                <c:pt idx="1">
                  <c:v>3144</c:v>
                </c:pt>
                <c:pt idx="2">
                  <c:v>1885</c:v>
                </c:pt>
                <c:pt idx="3">
                  <c:v>2232</c:v>
                </c:pt>
                <c:pt idx="4">
                  <c:v>6438</c:v>
                </c:pt>
                <c:pt idx="5">
                  <c:v>4712</c:v>
                </c:pt>
                <c:pt idx="6">
                  <c:v>5858</c:v>
                </c:pt>
                <c:pt idx="7">
                  <c:v>7670</c:v>
                </c:pt>
                <c:pt idx="8">
                  <c:v>2825</c:v>
                </c:pt>
                <c:pt idx="9">
                  <c:v>2700</c:v>
                </c:pt>
                <c:pt idx="10">
                  <c:v>2553</c:v>
                </c:pt>
                <c:pt idx="11">
                  <c:v>1725</c:v>
                </c:pt>
                <c:pt idx="12">
                  <c:v>5418</c:v>
                </c:pt>
                <c:pt idx="13">
                  <c:v>5452</c:v>
                </c:pt>
                <c:pt idx="14">
                  <c:v>1247</c:v>
                </c:pt>
                <c:pt idx="15">
                  <c:v>2175</c:v>
                </c:pt>
                <c:pt idx="16">
                  <c:v>6695</c:v>
                </c:pt>
                <c:pt idx="17">
                  <c:v>2472</c:v>
                </c:pt>
                <c:pt idx="18">
                  <c:v>2040</c:v>
                </c:pt>
                <c:pt idx="19">
                  <c:v>4644</c:v>
                </c:pt>
                <c:pt idx="20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4-4FE5-BCD2-D9F59DE7AF9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32520928"/>
        <c:axId val="1257273376"/>
      </c:barChart>
      <c:catAx>
        <c:axId val="932520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57273376"/>
        <c:crosses val="autoZero"/>
        <c:auto val="1"/>
        <c:lblAlgn val="ctr"/>
        <c:lblOffset val="100"/>
        <c:noMultiLvlLbl val="0"/>
      </c:catAx>
      <c:valAx>
        <c:axId val="12572733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5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'REPORTE GENERAL'!$B$4:$B$8</c:f>
              <c:strCache>
                <c:ptCount val="5"/>
                <c:pt idx="0">
                  <c:v>N.º DE NUMERO DE TRABAJADORES</c:v>
                </c:pt>
                <c:pt idx="1">
                  <c:v>PROMEDIO DE GASTOS MENSUAL</c:v>
                </c:pt>
                <c:pt idx="2">
                  <c:v>MAYOR SUELDO</c:v>
                </c:pt>
                <c:pt idx="3">
                  <c:v>MENOR SUELDO</c:v>
                </c:pt>
                <c:pt idx="4">
                  <c:v>EGRESOS DE PLANILLA</c:v>
                </c:pt>
              </c:strCache>
            </c:strRef>
          </c:cat>
          <c:val>
            <c:numRef>
              <c:f>'REPORTE GENERAL'!$C$4:$C$8</c:f>
              <c:numCache>
                <c:formatCode>_-"S/"* #,##0.00_-;\-"S/"* #,##0.00_-;_-"S/"* "-"??_-;_-@_-</c:formatCode>
                <c:ptCount val="5"/>
                <c:pt idx="0" formatCode="General">
                  <c:v>20</c:v>
                </c:pt>
                <c:pt idx="1">
                  <c:v>3733.45</c:v>
                </c:pt>
                <c:pt idx="2">
                  <c:v>6500</c:v>
                </c:pt>
                <c:pt idx="3">
                  <c:v>2300</c:v>
                </c:pt>
                <c:pt idx="4">
                  <c:v>73100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E-4E10-A3AE-E27FF0C35D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937097984"/>
        <c:axId val="927886784"/>
      </c:barChart>
      <c:catAx>
        <c:axId val="93709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7886784"/>
        <c:crosses val="autoZero"/>
        <c:auto val="1"/>
        <c:lblAlgn val="ctr"/>
        <c:lblOffset val="100"/>
        <c:noMultiLvlLbl val="0"/>
      </c:catAx>
      <c:valAx>
        <c:axId val="92788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709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1508821693860873"/>
          <c:y val="5.5306003744091822E-2"/>
          <c:w val="0.41069611577012294"/>
          <c:h val="0.8674016361257610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C06E-4062-9B72-9FD6FDA860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C06E-4062-9B72-9FD6FDA860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C06E-4062-9B72-9FD6FDA860A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C06E-4062-9B72-9FD6FDA860A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C06E-4062-9B72-9FD6FDA860A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C06E-4062-9B72-9FD6FDA860A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C06E-4062-9B72-9FD6FDA860A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C06E-4062-9B72-9FD6FDA860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'REPORTE GENERAL'!$B$12:$B$19</c:f>
              <c:strCache>
                <c:ptCount val="8"/>
                <c:pt idx="0">
                  <c:v>Administrador</c:v>
                </c:pt>
                <c:pt idx="1">
                  <c:v>Ing. Civil</c:v>
                </c:pt>
                <c:pt idx="2">
                  <c:v>Arquitecto</c:v>
                </c:pt>
                <c:pt idx="3">
                  <c:v>Operario</c:v>
                </c:pt>
                <c:pt idx="4">
                  <c:v>Secretaria</c:v>
                </c:pt>
                <c:pt idx="5">
                  <c:v>Peón</c:v>
                </c:pt>
                <c:pt idx="6">
                  <c:v>Maestro de Obra</c:v>
                </c:pt>
                <c:pt idx="7">
                  <c:v>Supervisor de Obra</c:v>
                </c:pt>
              </c:strCache>
            </c:strRef>
          </c:cat>
          <c:val>
            <c:numRef>
              <c:f>'REPORTE GENERAL'!$C$12:$C$19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06E-4062-9B72-9FD6FDA860A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109970508210688E-2"/>
          <c:y val="8.3089348238012131E-2"/>
          <c:w val="0.49286388185387098"/>
          <c:h val="0.823797141260445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'REPORTE GENERAL'!$B$23:$B$30</c:f>
              <c:strCache>
                <c:ptCount val="8"/>
                <c:pt idx="0">
                  <c:v>Administrador</c:v>
                </c:pt>
                <c:pt idx="1">
                  <c:v>Ing. Civil</c:v>
                </c:pt>
                <c:pt idx="2">
                  <c:v>Arquitecto</c:v>
                </c:pt>
                <c:pt idx="3">
                  <c:v>Operario</c:v>
                </c:pt>
                <c:pt idx="4">
                  <c:v>Secretaria</c:v>
                </c:pt>
                <c:pt idx="5">
                  <c:v>Peón</c:v>
                </c:pt>
                <c:pt idx="6">
                  <c:v>Maestro de Obra</c:v>
                </c:pt>
                <c:pt idx="7">
                  <c:v>Supervisor de Obra</c:v>
                </c:pt>
              </c:strCache>
            </c:strRef>
          </c:cat>
          <c:val>
            <c:numRef>
              <c:f>'REPORTE GENERAL'!$C$23:$C$30</c:f>
              <c:numCache>
                <c:formatCode>_-"S/"* #,##0.00_-;\-"S/"* #,##0.00_-;_-"S/"* "-"??_-;_-@_-</c:formatCode>
                <c:ptCount val="8"/>
                <c:pt idx="0">
                  <c:v>5525</c:v>
                </c:pt>
                <c:pt idx="1">
                  <c:v>14365</c:v>
                </c:pt>
                <c:pt idx="2">
                  <c:v>17748</c:v>
                </c:pt>
                <c:pt idx="3">
                  <c:v>5307</c:v>
                </c:pt>
                <c:pt idx="4">
                  <c:v>4278</c:v>
                </c:pt>
                <c:pt idx="5">
                  <c:v>12672</c:v>
                </c:pt>
                <c:pt idx="6">
                  <c:v>10062</c:v>
                </c:pt>
                <c:pt idx="7">
                  <c:v>4712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E-4C26-9A57-887124D4DE7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23168256"/>
        <c:axId val="1260510208"/>
      </c:barChart>
      <c:catAx>
        <c:axId val="1223168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60510208"/>
        <c:crosses val="autoZero"/>
        <c:auto val="1"/>
        <c:lblAlgn val="ctr"/>
        <c:lblOffset val="100"/>
        <c:noMultiLvlLbl val="0"/>
      </c:catAx>
      <c:valAx>
        <c:axId val="12605102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S/&quot;* #,##0.00_-;\-&quot;S/&quot;* #,##0.00_-;_-&quot;S/&quot;* &quot;-&quot;??_-;_-@_-" sourceLinked="1"/>
        <c:majorTickMark val="none"/>
        <c:minorTickMark val="none"/>
        <c:tickLblPos val="nextTo"/>
        <c:crossAx val="122316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REPORTE GENERAL'!A1"/><Relationship Id="rId2" Type="http://schemas.openxmlformats.org/officeDocument/2006/relationships/hyperlink" Target="#Reporte!A1"/><Relationship Id="rId1" Type="http://schemas.openxmlformats.org/officeDocument/2006/relationships/hyperlink" Target="#HOJA1!A1"/><Relationship Id="rId4" Type="http://schemas.openxmlformats.org/officeDocument/2006/relationships/hyperlink" Target="#'ESTADISTICA 1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hyperlink" Target="#PRINCIPAL!A1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</xdr:row>
      <xdr:rowOff>123826</xdr:rowOff>
    </xdr:from>
    <xdr:to>
      <xdr:col>7</xdr:col>
      <xdr:colOff>190500</xdr:colOff>
      <xdr:row>4</xdr:row>
      <xdr:rowOff>95251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494B5F-5060-4B33-8D16-2F1CEEF63D78}"/>
            </a:ext>
          </a:extLst>
        </xdr:cNvPr>
        <xdr:cNvSpPr/>
      </xdr:nvSpPr>
      <xdr:spPr>
        <a:xfrm>
          <a:off x="3990975" y="285751"/>
          <a:ext cx="205740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TABLA GENERAL</a:t>
          </a:r>
        </a:p>
        <a:p>
          <a:pPr algn="ctr"/>
          <a:endParaRPr lang="es-ES" sz="1100"/>
        </a:p>
      </xdr:txBody>
    </xdr:sp>
    <xdr:clientData/>
  </xdr:twoCellAnchor>
  <xdr:oneCellAnchor>
    <xdr:from>
      <xdr:col>5</xdr:col>
      <xdr:colOff>333375</xdr:colOff>
      <xdr:row>4</xdr:row>
      <xdr:rowOff>133350</xdr:rowOff>
    </xdr:from>
    <xdr:ext cx="184731" cy="26456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EF1CE0A2-714C-461A-9A51-8045A507CDAA}"/>
            </a:ext>
          </a:extLst>
        </xdr:cNvPr>
        <xdr:cNvSpPr txBox="1"/>
      </xdr:nvSpPr>
      <xdr:spPr>
        <a:xfrm>
          <a:off x="4667250" y="781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0</xdr:col>
      <xdr:colOff>714375</xdr:colOff>
      <xdr:row>7</xdr:row>
      <xdr:rowOff>142876</xdr:rowOff>
    </xdr:from>
    <xdr:to>
      <xdr:col>2</xdr:col>
      <xdr:colOff>723900</xdr:colOff>
      <xdr:row>10</xdr:row>
      <xdr:rowOff>114301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CE365C-3214-4339-92F7-55DCDA313D46}"/>
            </a:ext>
          </a:extLst>
        </xdr:cNvPr>
        <xdr:cNvSpPr/>
      </xdr:nvSpPr>
      <xdr:spPr>
        <a:xfrm>
          <a:off x="714375" y="1276351"/>
          <a:ext cx="2057400" cy="4572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REPORTE</a:t>
          </a:r>
        </a:p>
      </xdr:txBody>
    </xdr:sp>
    <xdr:clientData/>
  </xdr:twoCellAnchor>
  <xdr:twoCellAnchor>
    <xdr:from>
      <xdr:col>4</xdr:col>
      <xdr:colOff>504825</xdr:colOff>
      <xdr:row>7</xdr:row>
      <xdr:rowOff>133351</xdr:rowOff>
    </xdr:from>
    <xdr:to>
      <xdr:col>7</xdr:col>
      <xdr:colOff>276225</xdr:colOff>
      <xdr:row>10</xdr:row>
      <xdr:rowOff>104776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A1203A-9B55-4062-9425-21E4860367E7}"/>
            </a:ext>
          </a:extLst>
        </xdr:cNvPr>
        <xdr:cNvSpPr/>
      </xdr:nvSpPr>
      <xdr:spPr>
        <a:xfrm>
          <a:off x="4076700" y="1266826"/>
          <a:ext cx="2057400" cy="4572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REPORTE GENERAL</a:t>
          </a:r>
        </a:p>
      </xdr:txBody>
    </xdr:sp>
    <xdr:clientData/>
  </xdr:twoCellAnchor>
  <xdr:twoCellAnchor>
    <xdr:from>
      <xdr:col>8</xdr:col>
      <xdr:colOff>647700</xdr:colOff>
      <xdr:row>7</xdr:row>
      <xdr:rowOff>114301</xdr:rowOff>
    </xdr:from>
    <xdr:to>
      <xdr:col>11</xdr:col>
      <xdr:colOff>419100</xdr:colOff>
      <xdr:row>10</xdr:row>
      <xdr:rowOff>85726</xdr:rowOff>
    </xdr:to>
    <xdr:sp macro="" textlink="">
      <xdr:nvSpPr>
        <xdr:cNvPr id="7" name="Rectángulo: esquinas redondeada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10E76C9-21F2-4402-A7F8-175743BF9EA0}"/>
            </a:ext>
          </a:extLst>
        </xdr:cNvPr>
        <xdr:cNvSpPr/>
      </xdr:nvSpPr>
      <xdr:spPr>
        <a:xfrm>
          <a:off x="7267575" y="1247776"/>
          <a:ext cx="2057400" cy="457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GRAFICO ESTADISTICA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206579</xdr:colOff>
      <xdr:row>12</xdr:row>
      <xdr:rowOff>63093</xdr:rowOff>
    </xdr:from>
    <xdr:to>
      <xdr:col>0</xdr:col>
      <xdr:colOff>2459608</xdr:colOff>
      <xdr:row>12</xdr:row>
      <xdr:rowOff>529167</xdr:rowOff>
    </xdr:to>
    <xdr:sp macro="[0]!filtro_boto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B765C96-F199-41C8-9C69-54FA6181BB27}"/>
            </a:ext>
          </a:extLst>
        </xdr:cNvPr>
        <xdr:cNvSpPr/>
      </xdr:nvSpPr>
      <xdr:spPr>
        <a:xfrm>
          <a:off x="206579" y="2669239"/>
          <a:ext cx="2253029" cy="4660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/>
            <a:t>BUSCAR</a:t>
          </a:r>
        </a:p>
        <a:p>
          <a:pPr algn="ctr"/>
          <a:endParaRPr lang="es-ES" sz="2000" b="1"/>
        </a:p>
      </xdr:txBody>
    </xdr:sp>
    <xdr:clientData/>
  </xdr:twoCellAnchor>
  <xdr:twoCellAnchor>
    <xdr:from>
      <xdr:col>0</xdr:col>
      <xdr:colOff>256442</xdr:colOff>
      <xdr:row>0</xdr:row>
      <xdr:rowOff>54953</xdr:rowOff>
    </xdr:from>
    <xdr:to>
      <xdr:col>0</xdr:col>
      <xdr:colOff>1886682</xdr:colOff>
      <xdr:row>5</xdr:row>
      <xdr:rowOff>119064</xdr:rowOff>
    </xdr:to>
    <xdr:sp macro="" textlink="">
      <xdr:nvSpPr>
        <xdr:cNvPr id="10" name="Flecha: hacia la izquierda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709E25-8528-481C-925D-9A2699DC9BCD}"/>
            </a:ext>
          </a:extLst>
        </xdr:cNvPr>
        <xdr:cNvSpPr/>
      </xdr:nvSpPr>
      <xdr:spPr>
        <a:xfrm>
          <a:off x="256442" y="54953"/>
          <a:ext cx="1630240" cy="1076142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MENU PRINCIPAL</a:t>
          </a:r>
        </a:p>
        <a:p>
          <a:pPr algn="ctr"/>
          <a:endParaRPr lang="es-E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133350</xdr:rowOff>
    </xdr:from>
    <xdr:to>
      <xdr:col>13</xdr:col>
      <xdr:colOff>692392</xdr:colOff>
      <xdr:row>35</xdr:row>
      <xdr:rowOff>49188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E49DF4-221B-4FB0-85A2-C44FB583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2</xdr:col>
      <xdr:colOff>123824</xdr:colOff>
      <xdr:row>6</xdr:row>
      <xdr:rowOff>47625</xdr:rowOff>
    </xdr:to>
    <xdr:sp macro="" textlink="">
      <xdr:nvSpPr>
        <xdr:cNvPr id="3" name="Flecha: hacia la izquier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11C1699-4B1E-45F2-BABB-8EB74D967E95}"/>
            </a:ext>
          </a:extLst>
        </xdr:cNvPr>
        <xdr:cNvSpPr/>
      </xdr:nvSpPr>
      <xdr:spPr>
        <a:xfrm>
          <a:off x="0" y="161925"/>
          <a:ext cx="1647824" cy="8572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MENU PRINCIPAL</a:t>
          </a:r>
        </a:p>
        <a:p>
          <a:pPr algn="ctr"/>
          <a:endParaRPr lang="es-E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261938</xdr:colOff>
      <xdr:row>0</xdr:row>
      <xdr:rowOff>178594</xdr:rowOff>
    </xdr:from>
    <xdr:to>
      <xdr:col>0</xdr:col>
      <xdr:colOff>1895476</xdr:colOff>
      <xdr:row>6</xdr:row>
      <xdr:rowOff>114300</xdr:rowOff>
    </xdr:to>
    <xdr:sp macro="" textlink="">
      <xdr:nvSpPr>
        <xdr:cNvPr id="2" name="Flecha: hacia l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9EDDD-65D3-479C-B8BF-3B369494C7E8}"/>
            </a:ext>
          </a:extLst>
        </xdr:cNvPr>
        <xdr:cNvSpPr/>
      </xdr:nvSpPr>
      <xdr:spPr>
        <a:xfrm>
          <a:off x="261938" y="178594"/>
          <a:ext cx="1633538" cy="1078706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MENU PRINCIPAL</a:t>
          </a:r>
        </a:p>
        <a:p>
          <a:pPr algn="ctr"/>
          <a:endParaRPr lang="es-ES" sz="1400" b="1"/>
        </a:p>
      </xdr:txBody>
    </xdr:sp>
    <xdr:clientData/>
  </xdr:twoCellAnchor>
  <xdr:twoCellAnchor>
    <xdr:from>
      <xdr:col>3</xdr:col>
      <xdr:colOff>5954</xdr:colOff>
      <xdr:row>1</xdr:row>
      <xdr:rowOff>0</xdr:rowOff>
    </xdr:from>
    <xdr:to>
      <xdr:col>6</xdr:col>
      <xdr:colOff>297656</xdr:colOff>
      <xdr:row>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8FA2336-2B70-4891-8D29-25DBC6F8C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29765</xdr:colOff>
      <xdr:row>8</xdr:row>
      <xdr:rowOff>352424</xdr:rowOff>
    </xdr:from>
    <xdr:to>
      <xdr:col>6</xdr:col>
      <xdr:colOff>285750</xdr:colOff>
      <xdr:row>19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D8DD3E5-AD9E-435D-B1B7-3EA7D47DE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29766</xdr:colOff>
      <xdr:row>20</xdr:row>
      <xdr:rowOff>140491</xdr:rowOff>
    </xdr:from>
    <xdr:to>
      <xdr:col>6</xdr:col>
      <xdr:colOff>226219</xdr:colOff>
      <xdr:row>31</xdr:row>
      <xdr:rowOff>145254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FEF2EF-831E-486C-97C7-E055C2773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1020640</xdr:colOff>
      <xdr:row>5</xdr:row>
      <xdr:rowOff>219075</xdr:rowOff>
    </xdr:to>
    <xdr:sp macro="" textlink="">
      <xdr:nvSpPr>
        <xdr:cNvPr id="2" name="Flecha: hacia l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7C03E3-7D8E-4ED0-B323-19A993416433}"/>
            </a:ext>
          </a:extLst>
        </xdr:cNvPr>
        <xdr:cNvSpPr/>
      </xdr:nvSpPr>
      <xdr:spPr>
        <a:xfrm>
          <a:off x="6353175" y="161925"/>
          <a:ext cx="1630240" cy="10763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MENU PRINCIPAL</a:t>
          </a:r>
        </a:p>
        <a:p>
          <a:pPr algn="ctr"/>
          <a:endParaRPr lang="es-E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7FEB0D-CD0B-4E27-BAC2-24315871DCB0}" name="Tabla1" displayName="Tabla1" ref="B20:Q40" totalsRowShown="0" headerRowDxfId="20" dataDxfId="19" dataCellStyle="Moneda">
  <tableColumns count="16">
    <tableColumn id="1" xr3:uid="{E80324E9-70B9-4731-BBE0-8F1C3BBD3EA7}" name="COD" dataDxfId="18"/>
    <tableColumn id="2" xr3:uid="{3ECA36B4-F040-49C1-8AFB-8EBB25E3A0EC}" name="EMPLEADO" dataDxfId="17"/>
    <tableColumn id="3" xr3:uid="{CC6F2B0F-06C1-4BCA-840B-785830BFF73A}" name="DIAS TRABAJADOS" dataDxfId="16"/>
    <tableColumn id="4" xr3:uid="{F32604A2-1F48-498D-B230-2AB33EE612F2}" name="PROFESION" dataDxfId="15"/>
    <tableColumn id="5" xr3:uid="{7CEBFB13-6E83-44D2-9D6F-848303C72E70}" name="BONIFICACION" dataDxfId="14">
      <calculatedColumnFormula>IF(I21&gt;=3000,I21*0.18,0)</calculatedColumnFormula>
    </tableColumn>
    <tableColumn id="6" xr3:uid="{109BC8CE-B4F1-4032-A913-36A214B59F70}" name="Nº DE HIJOS" dataDxfId="13"/>
    <tableColumn id="7" xr3:uid="{63EC52BB-EEE9-4AD5-B38C-C0DD089286AB}" name="ESCOLARIDAD" dataDxfId="12"/>
    <tableColumn id="8" xr3:uid="{04E9BF38-A295-4F26-8112-F9710BCC7426}" name="PAGO MENSUAL" dataDxfId="11">
      <calculatedColumnFormula>VLOOKUP(E21,$O$3:$P$10,2,0)</calculatedColumnFormula>
    </tableColumn>
    <tableColumn id="9" xr3:uid="{CF598BED-93FB-45E0-ADDE-1F4DD772A4EC}" name="DIAS EXTRAS" dataDxfId="10"/>
    <tableColumn id="10" xr3:uid="{B1164C3C-B7F0-4E3B-95D1-483314B9AF00}" name="PGO x DIA EXTRA" dataDxfId="9">
      <calculatedColumnFormula>IF(J21&gt;0,I21*D$5,0)</calculatedColumnFormula>
    </tableColumn>
    <tableColumn id="11" xr3:uid="{B38D4374-7241-44E1-BE37-88F7A8F047AC}" name="DIAS NO LABORADOS" dataDxfId="8">
      <calculatedColumnFormula>20-D21</calculatedColumnFormula>
    </tableColumn>
    <tableColumn id="12" xr3:uid="{9B698907-6FFB-43EB-8673-01F5E21A728D}" name="DSCTO DE DIA" dataDxfId="7" dataCellStyle="Moneda">
      <calculatedColumnFormula>(I21*D$4)*$L21</calculatedColumnFormula>
    </tableColumn>
    <tableColumn id="13" xr3:uid="{68A6AF11-250F-473E-AD54-46B4FFB5E8F1}" name="DSCTO FONAVI" dataDxfId="6" dataCellStyle="Moneda">
      <calculatedColumnFormula>IF(I21&gt;=3500,I21*I$5,0)</calculatedColumnFormula>
    </tableColumn>
    <tableColumn id="14" xr3:uid="{DA4189F9-7A8C-449D-9BF3-70C61EC98732}" name="DSCTO ONP" dataDxfId="5" dataCellStyle="Moneda">
      <calculatedColumnFormula>IF(I21&gt;=3500,I21*I$4,0)</calculatedColumnFormula>
    </tableColumn>
    <tableColumn id="15" xr3:uid="{D6421B3A-4F11-4D77-99C0-B33BEF96C9B1}" name="TOTAL DSCTOS" dataDxfId="4" dataCellStyle="Moneda">
      <calculatedColumnFormula>SUM(M21:O21)</calculatedColumnFormula>
    </tableColumn>
    <tableColumn id="16" xr3:uid="{442057DC-ABA1-4F94-B5AD-4FA9A2C3EB33}" name="NETO MENSUAL" dataDxfId="3" dataCellStyle="Moneda">
      <calculatedColumnFormula>(I21+K21+H21+F21)-P21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A61B7-6218-4948-8AD4-6094EA30EB5E}">
  <sheetPr codeName="Hoja4">
    <tabColor rgb="FFFFFF00"/>
  </sheetPr>
  <dimension ref="A1"/>
  <sheetViews>
    <sheetView showGridLines="0" workbookViewId="0"/>
  </sheetViews>
  <sheetFormatPr baseColWidth="10" defaultRowHeight="12.75" x14ac:dyDescent="0.2"/>
  <cols>
    <col min="2" max="2" width="19.28515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/>
  </sheetPr>
  <dimension ref="A1:AA71"/>
  <sheetViews>
    <sheetView showGridLines="0" zoomScale="70" zoomScaleNormal="80" workbookViewId="0">
      <selection activeCell="B14" sqref="B14"/>
    </sheetView>
  </sheetViews>
  <sheetFormatPr baseColWidth="10" defaultColWidth="9.140625" defaultRowHeight="15" x14ac:dyDescent="0.25"/>
  <cols>
    <col min="1" max="1" width="38.85546875" style="2" customWidth="1"/>
    <col min="2" max="2" width="35.5703125" style="2" customWidth="1"/>
    <col min="3" max="3" width="38.5703125" style="2" customWidth="1"/>
    <col min="4" max="4" width="28.85546875" style="2" customWidth="1"/>
    <col min="5" max="5" width="25.5703125" style="2" customWidth="1"/>
    <col min="6" max="6" width="23.140625" style="2" customWidth="1"/>
    <col min="7" max="7" width="19.28515625" style="2" customWidth="1"/>
    <col min="8" max="8" width="22.5703125" style="2" customWidth="1"/>
    <col min="9" max="9" width="24.7109375" style="2" customWidth="1"/>
    <col min="10" max="10" width="21.42578125" style="3" customWidth="1"/>
    <col min="11" max="11" width="26.7109375" style="2" customWidth="1"/>
    <col min="12" max="12" width="31.85546875" style="3" customWidth="1"/>
    <col min="13" max="13" width="22.5703125" style="2" customWidth="1"/>
    <col min="14" max="14" width="23.5703125" style="2" customWidth="1"/>
    <col min="15" max="15" width="20.140625" style="2" customWidth="1"/>
    <col min="16" max="16" width="23.5703125" style="2" customWidth="1"/>
    <col min="17" max="17" width="24.42578125" style="2" customWidth="1"/>
    <col min="18" max="18" width="19.28515625" style="2" customWidth="1"/>
    <col min="19" max="19" width="33.85546875" style="2" customWidth="1"/>
    <col min="20" max="27" width="8" style="2"/>
    <col min="28" max="16384" width="9.140625" style="2"/>
  </cols>
  <sheetData>
    <row r="1" spans="1:24" ht="15.75" thickBot="1" x14ac:dyDescent="0.3"/>
    <row r="2" spans="1:24" x14ac:dyDescent="0.25">
      <c r="B2" s="4"/>
      <c r="O2" s="5"/>
      <c r="P2" s="6"/>
    </row>
    <row r="3" spans="1:24" ht="15.75" thickBot="1" x14ac:dyDescent="0.3">
      <c r="B3" s="4"/>
      <c r="O3" s="7" t="s">
        <v>0</v>
      </c>
      <c r="P3" s="8">
        <v>2500</v>
      </c>
    </row>
    <row r="4" spans="1:24" ht="15.75" x14ac:dyDescent="0.25">
      <c r="C4" s="52" t="s">
        <v>46</v>
      </c>
      <c r="D4" s="53">
        <v>0.1</v>
      </c>
      <c r="H4" s="44" t="s">
        <v>48</v>
      </c>
      <c r="I4" s="45">
        <v>0.05</v>
      </c>
      <c r="K4" s="79" t="s">
        <v>53</v>
      </c>
      <c r="L4" s="80"/>
      <c r="O4" s="7" t="s">
        <v>38</v>
      </c>
      <c r="P4" s="8">
        <v>6500</v>
      </c>
      <c r="U4" s="4"/>
    </row>
    <row r="5" spans="1:24" ht="16.5" thickBot="1" x14ac:dyDescent="0.3">
      <c r="C5" s="54" t="s">
        <v>47</v>
      </c>
      <c r="D5" s="55">
        <v>0.15</v>
      </c>
      <c r="H5" s="46" t="s">
        <v>49</v>
      </c>
      <c r="I5" s="47">
        <v>0.1</v>
      </c>
      <c r="K5" s="48" t="s">
        <v>50</v>
      </c>
      <c r="L5" s="49">
        <v>4500</v>
      </c>
      <c r="N5" s="4"/>
      <c r="O5" s="7" t="s">
        <v>39</v>
      </c>
      <c r="P5" s="8">
        <v>5800</v>
      </c>
      <c r="S5" s="4"/>
      <c r="W5" s="4"/>
      <c r="X5" s="9"/>
    </row>
    <row r="6" spans="1:24" ht="15.75" x14ac:dyDescent="0.25">
      <c r="C6" s="54" t="s">
        <v>63</v>
      </c>
      <c r="D6" s="55">
        <v>0.18</v>
      </c>
      <c r="K6" s="48" t="s">
        <v>51</v>
      </c>
      <c r="L6" s="49">
        <v>2500</v>
      </c>
      <c r="N6" s="4"/>
      <c r="O6" s="7" t="s">
        <v>40</v>
      </c>
      <c r="P6" s="8">
        <v>2900</v>
      </c>
      <c r="S6" s="4"/>
      <c r="W6" s="4"/>
      <c r="X6" s="9"/>
    </row>
    <row r="7" spans="1:24" ht="16.5" thickBot="1" x14ac:dyDescent="0.3">
      <c r="C7" s="54" t="s">
        <v>45</v>
      </c>
      <c r="D7" s="56">
        <v>5</v>
      </c>
      <c r="K7" s="50" t="s">
        <v>52</v>
      </c>
      <c r="L7" s="51"/>
      <c r="N7" s="4"/>
      <c r="O7" s="7" t="s">
        <v>41</v>
      </c>
      <c r="P7" s="8">
        <v>2300</v>
      </c>
      <c r="S7" s="4"/>
      <c r="W7" s="4"/>
      <c r="X7" s="9"/>
    </row>
    <row r="8" spans="1:24" ht="15.75" x14ac:dyDescent="0.25">
      <c r="C8" s="54" t="s">
        <v>55</v>
      </c>
      <c r="D8" s="55">
        <v>0.08</v>
      </c>
      <c r="O8" s="7" t="s">
        <v>42</v>
      </c>
      <c r="P8" s="8">
        <v>2400</v>
      </c>
      <c r="S8" s="4"/>
      <c r="X8" s="9"/>
    </row>
    <row r="9" spans="1:24" ht="15.75" x14ac:dyDescent="0.25">
      <c r="C9" s="54" t="s">
        <v>1</v>
      </c>
      <c r="D9" s="57">
        <f ca="1">NOW()</f>
        <v>45097.116658796294</v>
      </c>
      <c r="O9" s="7" t="s">
        <v>43</v>
      </c>
      <c r="P9" s="8">
        <v>4300</v>
      </c>
      <c r="S9" s="4"/>
      <c r="W9" s="4"/>
      <c r="X9" s="9"/>
    </row>
    <row r="10" spans="1:24" ht="16.5" thickBot="1" x14ac:dyDescent="0.3">
      <c r="C10" s="58" t="s">
        <v>2</v>
      </c>
      <c r="D10" s="59">
        <f ca="1">TODAY()</f>
        <v>45097</v>
      </c>
      <c r="O10" s="12" t="s">
        <v>44</v>
      </c>
      <c r="P10" s="13">
        <v>3800</v>
      </c>
    </row>
    <row r="11" spans="1:24" ht="15.75" thickBot="1" x14ac:dyDescent="0.3">
      <c r="C11" s="4"/>
      <c r="D11" s="11"/>
      <c r="O11" s="38"/>
      <c r="P11" s="39"/>
    </row>
    <row r="12" spans="1:24" ht="42.75" customHeight="1" x14ac:dyDescent="0.25">
      <c r="A12" s="41" t="s">
        <v>64</v>
      </c>
      <c r="B12" s="60" t="s">
        <v>3</v>
      </c>
      <c r="C12" s="61" t="s">
        <v>67</v>
      </c>
      <c r="D12" s="61" t="s">
        <v>57</v>
      </c>
      <c r="E12" s="61" t="s">
        <v>58</v>
      </c>
      <c r="F12" s="62" t="s">
        <v>56</v>
      </c>
      <c r="G12" s="61" t="s">
        <v>59</v>
      </c>
      <c r="H12" s="62" t="s">
        <v>55</v>
      </c>
      <c r="I12" s="62" t="s">
        <v>17</v>
      </c>
      <c r="J12" s="61" t="s">
        <v>60</v>
      </c>
      <c r="K12" s="62" t="s">
        <v>61</v>
      </c>
      <c r="L12" s="61" t="s">
        <v>62</v>
      </c>
      <c r="M12" s="63" t="s">
        <v>54</v>
      </c>
      <c r="N12" s="63" t="s">
        <v>49</v>
      </c>
      <c r="O12" s="63" t="s">
        <v>48</v>
      </c>
      <c r="P12" s="64" t="s">
        <v>4</v>
      </c>
      <c r="Q12" s="65" t="s">
        <v>5</v>
      </c>
    </row>
    <row r="13" spans="1:24" s="40" customFormat="1" ht="43.5" customHeight="1" thickBot="1" x14ac:dyDescent="0.25">
      <c r="B13" s="66"/>
      <c r="C13" s="67"/>
      <c r="D13" s="68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7"/>
      <c r="P13" s="70"/>
      <c r="Q13" s="71"/>
    </row>
    <row r="14" spans="1:24" ht="24.75" customHeight="1" x14ac:dyDescent="0.25">
      <c r="C14" s="4"/>
      <c r="D14" s="11"/>
      <c r="O14" s="38"/>
      <c r="P14" s="39"/>
    </row>
    <row r="15" spans="1:24" ht="36.75" customHeight="1" thickBot="1" x14ac:dyDescent="0.3">
      <c r="C15" s="4"/>
      <c r="D15" s="11"/>
      <c r="O15" s="38"/>
      <c r="P15" s="39"/>
    </row>
    <row r="16" spans="1:24" ht="42.75" customHeight="1" x14ac:dyDescent="0.25">
      <c r="A16" s="41" t="s">
        <v>65</v>
      </c>
      <c r="B16" s="60" t="s">
        <v>3</v>
      </c>
      <c r="C16" s="61" t="s">
        <v>67</v>
      </c>
      <c r="D16" s="61" t="s">
        <v>57</v>
      </c>
      <c r="E16" s="61" t="s">
        <v>58</v>
      </c>
      <c r="F16" s="62" t="s">
        <v>56</v>
      </c>
      <c r="G16" s="61" t="s">
        <v>59</v>
      </c>
      <c r="H16" s="62" t="s">
        <v>55</v>
      </c>
      <c r="I16" s="62" t="s">
        <v>17</v>
      </c>
      <c r="J16" s="61" t="s">
        <v>60</v>
      </c>
      <c r="K16" s="62" t="s">
        <v>61</v>
      </c>
      <c r="L16" s="61" t="s">
        <v>62</v>
      </c>
      <c r="M16" s="63" t="s">
        <v>54</v>
      </c>
      <c r="N16" s="63" t="s">
        <v>49</v>
      </c>
      <c r="O16" s="63" t="s">
        <v>48</v>
      </c>
      <c r="P16" s="64" t="s">
        <v>4</v>
      </c>
      <c r="Q16" s="65" t="s">
        <v>5</v>
      </c>
    </row>
    <row r="17" spans="1:27" s="40" customFormat="1" ht="33.75" customHeight="1" thickBot="1" x14ac:dyDescent="0.25">
      <c r="A17" s="40" t="s">
        <v>66</v>
      </c>
      <c r="B17" s="66"/>
      <c r="C17" s="67"/>
      <c r="D17" s="68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7"/>
      <c r="P17" s="70"/>
      <c r="Q17" s="71"/>
    </row>
    <row r="18" spans="1:27" ht="29.25" customHeight="1" x14ac:dyDescent="0.25">
      <c r="C18" s="4"/>
      <c r="D18" s="11"/>
      <c r="O18" s="38"/>
      <c r="P18" s="39"/>
    </row>
    <row r="20" spans="1:27" s="32" customFormat="1" ht="40.5" customHeight="1" x14ac:dyDescent="0.2">
      <c r="B20" s="28" t="s">
        <v>3</v>
      </c>
      <c r="C20" s="28" t="s">
        <v>67</v>
      </c>
      <c r="D20" s="28" t="s">
        <v>57</v>
      </c>
      <c r="E20" s="28" t="s">
        <v>58</v>
      </c>
      <c r="F20" s="30" t="s">
        <v>56</v>
      </c>
      <c r="G20" s="28" t="s">
        <v>59</v>
      </c>
      <c r="H20" s="30" t="s">
        <v>55</v>
      </c>
      <c r="I20" s="30" t="s">
        <v>17</v>
      </c>
      <c r="J20" s="28" t="s">
        <v>60</v>
      </c>
      <c r="K20" s="30" t="s">
        <v>61</v>
      </c>
      <c r="L20" s="28" t="s">
        <v>62</v>
      </c>
      <c r="M20" s="29" t="s">
        <v>54</v>
      </c>
      <c r="N20" s="29" t="s">
        <v>49</v>
      </c>
      <c r="O20" s="29" t="s">
        <v>48</v>
      </c>
      <c r="P20" s="33" t="s">
        <v>4</v>
      </c>
      <c r="Q20" s="33" t="s">
        <v>5</v>
      </c>
      <c r="R20" s="32" t="s">
        <v>6</v>
      </c>
      <c r="U20" s="31"/>
    </row>
    <row r="21" spans="1:27" x14ac:dyDescent="0.25">
      <c r="B21" s="4" t="s">
        <v>68</v>
      </c>
      <c r="C21" s="4" t="s">
        <v>18</v>
      </c>
      <c r="D21" s="10">
        <v>20</v>
      </c>
      <c r="E21" s="4" t="s">
        <v>42</v>
      </c>
      <c r="F21" s="14">
        <f>IF(I21&gt;=3000,I21*0.18,0)</f>
        <v>0</v>
      </c>
      <c r="G21" s="15">
        <v>2</v>
      </c>
      <c r="H21" s="14">
        <f>(I21*$D$8)*G21</f>
        <v>384</v>
      </c>
      <c r="I21" s="16">
        <f t="shared" ref="I21:I40" si="0">VLOOKUP(E21,$O$3:$P$10,2,0)</f>
        <v>2400</v>
      </c>
      <c r="J21" s="17">
        <v>2</v>
      </c>
      <c r="K21" s="16">
        <f>IF(J21&gt;0,I21*D$5,0)</f>
        <v>360</v>
      </c>
      <c r="L21" s="27">
        <f>20-D21</f>
        <v>0</v>
      </c>
      <c r="M21" s="18">
        <f>(I21*D$4)*$L21</f>
        <v>0</v>
      </c>
      <c r="N21" s="18">
        <f t="shared" ref="N21:N40" si="1">IF(I21&gt;=3500,I21*I$5,0)</f>
        <v>0</v>
      </c>
      <c r="O21" s="18">
        <f t="shared" ref="O21:O40" si="2">IF(I21&gt;=3500,I21*I$4,0)</f>
        <v>0</v>
      </c>
      <c r="P21" s="18">
        <f>SUM(M21:O21)</f>
        <v>0</v>
      </c>
      <c r="Q21" s="18">
        <f t="shared" ref="Q21:Q40" si="3">(I21+K21+H21+F21)-P21</f>
        <v>3144</v>
      </c>
      <c r="R21" s="19" t="str">
        <f t="shared" ref="R21:R40" si="4">IF(I21&gt;=$L$5,$K$5,IF(I21&gt;=$L$6,$K$6,$K$7))</f>
        <v>Eventual</v>
      </c>
      <c r="S21" s="23">
        <f>Q21</f>
        <v>3144</v>
      </c>
      <c r="T21" s="20"/>
      <c r="U21" s="19"/>
      <c r="V21" s="20"/>
      <c r="W21" s="19"/>
      <c r="X21" s="20"/>
      <c r="Y21" s="19"/>
      <c r="Z21" s="21"/>
      <c r="AA21" s="19"/>
    </row>
    <row r="22" spans="1:27" x14ac:dyDescent="0.25">
      <c r="B22" s="4" t="s">
        <v>69</v>
      </c>
      <c r="C22" s="4" t="s">
        <v>19</v>
      </c>
      <c r="D22" s="10">
        <v>15</v>
      </c>
      <c r="E22" s="4" t="s">
        <v>40</v>
      </c>
      <c r="F22" s="14">
        <f t="shared" ref="F22:F40" si="5">IF(I22&gt;=3000,I22*0.18,0)</f>
        <v>0</v>
      </c>
      <c r="G22" s="15">
        <v>0</v>
      </c>
      <c r="H22" s="14">
        <f t="shared" ref="H22:H39" si="6">(I22*$D$8)*G22</f>
        <v>0</v>
      </c>
      <c r="I22" s="16">
        <f t="shared" si="0"/>
        <v>2900</v>
      </c>
      <c r="J22" s="17">
        <v>3</v>
      </c>
      <c r="K22" s="16">
        <f t="shared" ref="K22:K40" si="7">IF(J22&gt;0,I22*D$5,0)</f>
        <v>435</v>
      </c>
      <c r="L22" s="27">
        <f t="shared" ref="L22:L40" si="8">20-D22</f>
        <v>5</v>
      </c>
      <c r="M22" s="18">
        <f t="shared" ref="M22:M40" si="9">(I22*D$4)*$L22</f>
        <v>1450</v>
      </c>
      <c r="N22" s="18">
        <f t="shared" si="1"/>
        <v>0</v>
      </c>
      <c r="O22" s="18">
        <f t="shared" si="2"/>
        <v>0</v>
      </c>
      <c r="P22" s="18">
        <f t="shared" ref="P22:P40" si="10">SUM(M22:O22)</f>
        <v>1450</v>
      </c>
      <c r="Q22" s="18">
        <f t="shared" si="3"/>
        <v>1885</v>
      </c>
      <c r="R22" s="19" t="str">
        <f t="shared" si="4"/>
        <v>Contratado</v>
      </c>
      <c r="S22" s="23">
        <f t="shared" ref="S22:S40" si="11">Q22</f>
        <v>1885</v>
      </c>
      <c r="T22" s="20"/>
      <c r="U22" s="19"/>
      <c r="V22" s="20"/>
      <c r="W22" s="19"/>
      <c r="X22" s="20"/>
      <c r="Y22" s="19"/>
      <c r="Z22" s="21"/>
      <c r="AA22" s="19"/>
    </row>
    <row r="23" spans="1:27" x14ac:dyDescent="0.25">
      <c r="B23" s="4" t="s">
        <v>70</v>
      </c>
      <c r="C23" s="4" t="s">
        <v>20</v>
      </c>
      <c r="D23" s="10">
        <v>17</v>
      </c>
      <c r="E23" s="4" t="s">
        <v>42</v>
      </c>
      <c r="F23" s="14">
        <f t="shared" si="5"/>
        <v>0</v>
      </c>
      <c r="G23" s="15">
        <v>1</v>
      </c>
      <c r="H23" s="14">
        <f t="shared" si="6"/>
        <v>192</v>
      </c>
      <c r="I23" s="16">
        <f t="shared" si="0"/>
        <v>2400</v>
      </c>
      <c r="J23" s="17">
        <v>1</v>
      </c>
      <c r="K23" s="16">
        <f t="shared" si="7"/>
        <v>360</v>
      </c>
      <c r="L23" s="27">
        <f t="shared" si="8"/>
        <v>3</v>
      </c>
      <c r="M23" s="18">
        <f t="shared" si="9"/>
        <v>720</v>
      </c>
      <c r="N23" s="18">
        <f t="shared" si="1"/>
        <v>0</v>
      </c>
      <c r="O23" s="18">
        <f t="shared" si="2"/>
        <v>0</v>
      </c>
      <c r="P23" s="18">
        <f t="shared" si="10"/>
        <v>720</v>
      </c>
      <c r="Q23" s="18">
        <f t="shared" si="3"/>
        <v>2232</v>
      </c>
      <c r="R23" s="19" t="str">
        <f t="shared" si="4"/>
        <v>Eventual</v>
      </c>
      <c r="S23" s="23">
        <f t="shared" si="11"/>
        <v>2232</v>
      </c>
      <c r="T23" s="20"/>
      <c r="U23" s="19"/>
      <c r="V23" s="20"/>
      <c r="W23" s="19"/>
      <c r="X23" s="20"/>
      <c r="Y23" s="19"/>
      <c r="Z23" s="21"/>
      <c r="AA23" s="19"/>
    </row>
    <row r="24" spans="1:27" x14ac:dyDescent="0.25">
      <c r="B24" s="4" t="s">
        <v>71</v>
      </c>
      <c r="C24" s="4" t="s">
        <v>21</v>
      </c>
      <c r="D24" s="10">
        <v>20</v>
      </c>
      <c r="E24" s="4" t="s">
        <v>39</v>
      </c>
      <c r="F24" s="14">
        <f t="shared" si="5"/>
        <v>1044</v>
      </c>
      <c r="G24" s="15">
        <v>1</v>
      </c>
      <c r="H24" s="14">
        <f t="shared" si="6"/>
        <v>464</v>
      </c>
      <c r="I24" s="16">
        <f t="shared" si="0"/>
        <v>5800</v>
      </c>
      <c r="J24" s="17">
        <v>0</v>
      </c>
      <c r="K24" s="16">
        <f t="shared" si="7"/>
        <v>0</v>
      </c>
      <c r="L24" s="27">
        <f t="shared" si="8"/>
        <v>0</v>
      </c>
      <c r="M24" s="18">
        <f t="shared" si="9"/>
        <v>0</v>
      </c>
      <c r="N24" s="18">
        <f t="shared" si="1"/>
        <v>580</v>
      </c>
      <c r="O24" s="18">
        <f t="shared" si="2"/>
        <v>290</v>
      </c>
      <c r="P24" s="18">
        <f t="shared" si="10"/>
        <v>870</v>
      </c>
      <c r="Q24" s="18">
        <f t="shared" si="3"/>
        <v>6438</v>
      </c>
      <c r="R24" s="19" t="str">
        <f t="shared" si="4"/>
        <v>Estable</v>
      </c>
      <c r="S24" s="23">
        <f t="shared" si="11"/>
        <v>6438</v>
      </c>
      <c r="T24" s="20"/>
      <c r="U24" s="19"/>
      <c r="V24" s="20"/>
      <c r="W24" s="19"/>
      <c r="X24" s="20"/>
      <c r="Z24" s="21"/>
      <c r="AA24" s="19"/>
    </row>
    <row r="25" spans="1:27" x14ac:dyDescent="0.25">
      <c r="B25" s="4" t="s">
        <v>72</v>
      </c>
      <c r="C25" s="4" t="s">
        <v>22</v>
      </c>
      <c r="D25" s="10">
        <v>19</v>
      </c>
      <c r="E25" s="4" t="s">
        <v>44</v>
      </c>
      <c r="F25" s="14">
        <f t="shared" si="5"/>
        <v>684</v>
      </c>
      <c r="G25" s="15">
        <v>2</v>
      </c>
      <c r="H25" s="14">
        <f t="shared" si="6"/>
        <v>608</v>
      </c>
      <c r="I25" s="16">
        <f t="shared" si="0"/>
        <v>3800</v>
      </c>
      <c r="J25" s="17">
        <v>2</v>
      </c>
      <c r="K25" s="16">
        <f t="shared" si="7"/>
        <v>570</v>
      </c>
      <c r="L25" s="27">
        <f t="shared" si="8"/>
        <v>1</v>
      </c>
      <c r="M25" s="18">
        <f t="shared" si="9"/>
        <v>380</v>
      </c>
      <c r="N25" s="18">
        <f t="shared" si="1"/>
        <v>380</v>
      </c>
      <c r="O25" s="18">
        <f t="shared" si="2"/>
        <v>190</v>
      </c>
      <c r="P25" s="18">
        <f t="shared" si="10"/>
        <v>950</v>
      </c>
      <c r="Q25" s="18">
        <f t="shared" si="3"/>
        <v>4712</v>
      </c>
      <c r="R25" s="19" t="str">
        <f t="shared" si="4"/>
        <v>Contratado</v>
      </c>
      <c r="S25" s="23">
        <f t="shared" si="11"/>
        <v>4712</v>
      </c>
      <c r="T25" s="20"/>
      <c r="U25" s="19"/>
      <c r="V25" s="20"/>
      <c r="W25" s="19"/>
      <c r="X25" s="20"/>
      <c r="Z25" s="21"/>
      <c r="AA25" s="19"/>
    </row>
    <row r="26" spans="1:27" x14ac:dyDescent="0.25">
      <c r="B26" s="4" t="s">
        <v>73</v>
      </c>
      <c r="C26" s="4" t="s">
        <v>23</v>
      </c>
      <c r="D26" s="10">
        <v>19</v>
      </c>
      <c r="E26" s="4" t="s">
        <v>39</v>
      </c>
      <c r="F26" s="14">
        <f t="shared" si="5"/>
        <v>1044</v>
      </c>
      <c r="G26" s="15">
        <v>1</v>
      </c>
      <c r="H26" s="14">
        <f t="shared" si="6"/>
        <v>464</v>
      </c>
      <c r="I26" s="16">
        <f t="shared" si="0"/>
        <v>5800</v>
      </c>
      <c r="J26" s="17">
        <v>0</v>
      </c>
      <c r="K26" s="16">
        <f t="shared" si="7"/>
        <v>0</v>
      </c>
      <c r="L26" s="27">
        <f t="shared" si="8"/>
        <v>1</v>
      </c>
      <c r="M26" s="18">
        <f t="shared" si="9"/>
        <v>580</v>
      </c>
      <c r="N26" s="18">
        <f t="shared" si="1"/>
        <v>580</v>
      </c>
      <c r="O26" s="18">
        <f t="shared" si="2"/>
        <v>290</v>
      </c>
      <c r="P26" s="18">
        <f t="shared" si="10"/>
        <v>1450</v>
      </c>
      <c r="Q26" s="18">
        <f t="shared" si="3"/>
        <v>5858</v>
      </c>
      <c r="R26" s="19" t="str">
        <f t="shared" si="4"/>
        <v>Estable</v>
      </c>
      <c r="S26" s="23">
        <f t="shared" si="11"/>
        <v>5858</v>
      </c>
      <c r="T26" s="19"/>
      <c r="U26" s="19"/>
      <c r="V26" s="19"/>
      <c r="W26" s="19"/>
      <c r="X26" s="20"/>
      <c r="Y26" s="19"/>
      <c r="Z26" s="20"/>
      <c r="AA26" s="19"/>
    </row>
    <row r="27" spans="1:27" x14ac:dyDescent="0.25">
      <c r="B27" s="4" t="s">
        <v>74</v>
      </c>
      <c r="C27" s="4" t="s">
        <v>24</v>
      </c>
      <c r="D27" s="10">
        <v>20</v>
      </c>
      <c r="E27" s="4" t="s">
        <v>38</v>
      </c>
      <c r="F27" s="14">
        <f t="shared" si="5"/>
        <v>1170</v>
      </c>
      <c r="G27" s="15">
        <v>0</v>
      </c>
      <c r="H27" s="14">
        <f t="shared" si="6"/>
        <v>0</v>
      </c>
      <c r="I27" s="16">
        <f t="shared" si="0"/>
        <v>6500</v>
      </c>
      <c r="J27" s="17">
        <v>3</v>
      </c>
      <c r="K27" s="16">
        <f t="shared" si="7"/>
        <v>975</v>
      </c>
      <c r="L27" s="27">
        <f t="shared" si="8"/>
        <v>0</v>
      </c>
      <c r="M27" s="18">
        <f t="shared" si="9"/>
        <v>0</v>
      </c>
      <c r="N27" s="18">
        <f t="shared" si="1"/>
        <v>650</v>
      </c>
      <c r="O27" s="18">
        <f t="shared" si="2"/>
        <v>325</v>
      </c>
      <c r="P27" s="18">
        <f t="shared" si="10"/>
        <v>975</v>
      </c>
      <c r="Q27" s="18">
        <f t="shared" si="3"/>
        <v>7670</v>
      </c>
      <c r="R27" s="19" t="str">
        <f t="shared" si="4"/>
        <v>Estable</v>
      </c>
      <c r="S27" s="23">
        <f t="shared" si="11"/>
        <v>7670</v>
      </c>
      <c r="T27" s="20"/>
      <c r="U27" s="19"/>
      <c r="V27" s="20"/>
      <c r="W27" s="19"/>
      <c r="X27" s="20"/>
      <c r="Y27" s="19"/>
      <c r="Z27" s="21"/>
      <c r="AA27" s="19"/>
    </row>
    <row r="28" spans="1:27" x14ac:dyDescent="0.25">
      <c r="B28" s="4" t="s">
        <v>75</v>
      </c>
      <c r="C28" s="4" t="s">
        <v>25</v>
      </c>
      <c r="D28" s="10">
        <v>19</v>
      </c>
      <c r="E28" s="4" t="s">
        <v>0</v>
      </c>
      <c r="F28" s="14">
        <f t="shared" si="5"/>
        <v>0</v>
      </c>
      <c r="G28" s="15">
        <v>1</v>
      </c>
      <c r="H28" s="14">
        <f t="shared" si="6"/>
        <v>200</v>
      </c>
      <c r="I28" s="16">
        <f t="shared" si="0"/>
        <v>2500</v>
      </c>
      <c r="J28" s="17">
        <v>1</v>
      </c>
      <c r="K28" s="16">
        <f t="shared" si="7"/>
        <v>375</v>
      </c>
      <c r="L28" s="27">
        <f t="shared" si="8"/>
        <v>1</v>
      </c>
      <c r="M28" s="18">
        <f t="shared" si="9"/>
        <v>250</v>
      </c>
      <c r="N28" s="18">
        <f t="shared" si="1"/>
        <v>0</v>
      </c>
      <c r="O28" s="18">
        <f t="shared" si="2"/>
        <v>0</v>
      </c>
      <c r="P28" s="18">
        <f t="shared" si="10"/>
        <v>250</v>
      </c>
      <c r="Q28" s="18">
        <f t="shared" si="3"/>
        <v>2825</v>
      </c>
      <c r="R28" s="19" t="str">
        <f t="shared" si="4"/>
        <v>Contratado</v>
      </c>
      <c r="S28" s="23">
        <f t="shared" si="11"/>
        <v>2825</v>
      </c>
      <c r="T28" s="20"/>
      <c r="U28" s="19"/>
      <c r="V28" s="20"/>
      <c r="W28" s="19"/>
      <c r="X28" s="20"/>
      <c r="Y28" s="19"/>
      <c r="Z28" s="21"/>
      <c r="AA28" s="19"/>
    </row>
    <row r="29" spans="1:27" x14ac:dyDescent="0.25">
      <c r="B29" s="4" t="s">
        <v>76</v>
      </c>
      <c r="C29" s="4" t="s">
        <v>26</v>
      </c>
      <c r="D29" s="10">
        <v>20</v>
      </c>
      <c r="E29" s="4" t="s">
        <v>0</v>
      </c>
      <c r="F29" s="14">
        <f t="shared" si="5"/>
        <v>0</v>
      </c>
      <c r="G29" s="15">
        <v>1</v>
      </c>
      <c r="H29" s="14">
        <f t="shared" si="6"/>
        <v>200</v>
      </c>
      <c r="I29" s="16">
        <f t="shared" si="0"/>
        <v>2500</v>
      </c>
      <c r="J29" s="17">
        <v>0</v>
      </c>
      <c r="K29" s="16">
        <f t="shared" si="7"/>
        <v>0</v>
      </c>
      <c r="L29" s="27">
        <f t="shared" si="8"/>
        <v>0</v>
      </c>
      <c r="M29" s="18">
        <f t="shared" si="9"/>
        <v>0</v>
      </c>
      <c r="N29" s="18">
        <f t="shared" si="1"/>
        <v>0</v>
      </c>
      <c r="O29" s="18">
        <f t="shared" si="2"/>
        <v>0</v>
      </c>
      <c r="P29" s="18">
        <f t="shared" si="10"/>
        <v>0</v>
      </c>
      <c r="Q29" s="18">
        <f t="shared" si="3"/>
        <v>2700</v>
      </c>
      <c r="R29" s="19" t="str">
        <f t="shared" si="4"/>
        <v>Contratado</v>
      </c>
      <c r="S29" s="23">
        <f t="shared" si="11"/>
        <v>2700</v>
      </c>
      <c r="T29" s="20"/>
      <c r="U29" s="19"/>
      <c r="V29" s="20"/>
      <c r="W29" s="19"/>
      <c r="X29" s="21"/>
      <c r="Y29" s="19"/>
      <c r="Z29" s="21"/>
      <c r="AA29" s="19"/>
    </row>
    <row r="30" spans="1:27" x14ac:dyDescent="0.25">
      <c r="B30" s="4" t="s">
        <v>77</v>
      </c>
      <c r="C30" s="4" t="s">
        <v>27</v>
      </c>
      <c r="D30" s="10">
        <v>18</v>
      </c>
      <c r="E30" s="4" t="s">
        <v>41</v>
      </c>
      <c r="F30" s="14">
        <f t="shared" si="5"/>
        <v>0</v>
      </c>
      <c r="G30" s="15">
        <v>2</v>
      </c>
      <c r="H30" s="14">
        <f t="shared" si="6"/>
        <v>368</v>
      </c>
      <c r="I30" s="16">
        <f t="shared" si="0"/>
        <v>2300</v>
      </c>
      <c r="J30" s="17">
        <v>2</v>
      </c>
      <c r="K30" s="16">
        <f t="shared" si="7"/>
        <v>345</v>
      </c>
      <c r="L30" s="27">
        <f t="shared" si="8"/>
        <v>2</v>
      </c>
      <c r="M30" s="18">
        <f t="shared" si="9"/>
        <v>460</v>
      </c>
      <c r="N30" s="18">
        <f t="shared" si="1"/>
        <v>0</v>
      </c>
      <c r="O30" s="18">
        <f t="shared" si="2"/>
        <v>0</v>
      </c>
      <c r="P30" s="18">
        <f t="shared" si="10"/>
        <v>460</v>
      </c>
      <c r="Q30" s="18">
        <f t="shared" si="3"/>
        <v>2553</v>
      </c>
      <c r="R30" s="19" t="str">
        <f t="shared" si="4"/>
        <v>Eventual</v>
      </c>
      <c r="S30" s="23">
        <f t="shared" si="11"/>
        <v>2553</v>
      </c>
      <c r="T30" s="20"/>
      <c r="U30" s="19"/>
      <c r="V30" s="20"/>
      <c r="W30" s="19"/>
      <c r="X30" s="20"/>
      <c r="Y30" s="19"/>
      <c r="Z30" s="21"/>
      <c r="AA30" s="19"/>
    </row>
    <row r="31" spans="1:27" x14ac:dyDescent="0.25">
      <c r="B31" s="4" t="s">
        <v>78</v>
      </c>
      <c r="C31" s="4" t="s">
        <v>28</v>
      </c>
      <c r="D31" s="10">
        <v>16</v>
      </c>
      <c r="E31" s="4" t="s">
        <v>41</v>
      </c>
      <c r="F31" s="14">
        <f t="shared" si="5"/>
        <v>0</v>
      </c>
      <c r="G31" s="15">
        <v>0</v>
      </c>
      <c r="H31" s="14">
        <f t="shared" si="6"/>
        <v>0</v>
      </c>
      <c r="I31" s="16">
        <f t="shared" si="0"/>
        <v>2300</v>
      </c>
      <c r="J31" s="17">
        <v>3</v>
      </c>
      <c r="K31" s="16">
        <f t="shared" si="7"/>
        <v>345</v>
      </c>
      <c r="L31" s="27">
        <f t="shared" si="8"/>
        <v>4</v>
      </c>
      <c r="M31" s="18">
        <f t="shared" si="9"/>
        <v>920</v>
      </c>
      <c r="N31" s="18">
        <f t="shared" si="1"/>
        <v>0</v>
      </c>
      <c r="O31" s="18">
        <f t="shared" si="2"/>
        <v>0</v>
      </c>
      <c r="P31" s="18">
        <f t="shared" si="10"/>
        <v>920</v>
      </c>
      <c r="Q31" s="18">
        <f t="shared" si="3"/>
        <v>1725</v>
      </c>
      <c r="R31" s="19" t="str">
        <f t="shared" si="4"/>
        <v>Eventual</v>
      </c>
      <c r="S31" s="23">
        <f t="shared" si="11"/>
        <v>1725</v>
      </c>
      <c r="T31" s="20"/>
      <c r="U31" s="19"/>
      <c r="V31" s="20"/>
      <c r="W31" s="19"/>
      <c r="X31" s="20"/>
      <c r="Y31" s="19"/>
      <c r="Z31" s="21"/>
      <c r="AA31" s="19"/>
    </row>
    <row r="32" spans="1:27" x14ac:dyDescent="0.25">
      <c r="B32" s="4" t="s">
        <v>79</v>
      </c>
      <c r="C32" s="4" t="s">
        <v>29</v>
      </c>
      <c r="D32" s="10">
        <v>20</v>
      </c>
      <c r="E32" s="4" t="s">
        <v>43</v>
      </c>
      <c r="F32" s="14">
        <f t="shared" si="5"/>
        <v>774</v>
      </c>
      <c r="G32" s="15">
        <v>1</v>
      </c>
      <c r="H32" s="14">
        <f t="shared" si="6"/>
        <v>344</v>
      </c>
      <c r="I32" s="16">
        <f t="shared" si="0"/>
        <v>4300</v>
      </c>
      <c r="J32" s="17">
        <v>3</v>
      </c>
      <c r="K32" s="16">
        <f t="shared" si="7"/>
        <v>645</v>
      </c>
      <c r="L32" s="27">
        <f t="shared" si="8"/>
        <v>0</v>
      </c>
      <c r="M32" s="18">
        <f t="shared" si="9"/>
        <v>0</v>
      </c>
      <c r="N32" s="18">
        <f t="shared" si="1"/>
        <v>430</v>
      </c>
      <c r="O32" s="18">
        <f t="shared" si="2"/>
        <v>215</v>
      </c>
      <c r="P32" s="18">
        <f t="shared" si="10"/>
        <v>645</v>
      </c>
      <c r="Q32" s="18">
        <f t="shared" si="3"/>
        <v>5418</v>
      </c>
      <c r="R32" s="19" t="str">
        <f t="shared" si="4"/>
        <v>Contratado</v>
      </c>
      <c r="S32" s="23">
        <f t="shared" si="11"/>
        <v>5418</v>
      </c>
      <c r="T32" s="20"/>
      <c r="U32" s="19"/>
      <c r="V32" s="20"/>
      <c r="W32" s="19"/>
      <c r="X32" s="20"/>
      <c r="Y32" s="19"/>
      <c r="Z32" s="21"/>
      <c r="AA32" s="19"/>
    </row>
    <row r="33" spans="2:27" x14ac:dyDescent="0.25">
      <c r="B33" s="4" t="s">
        <v>80</v>
      </c>
      <c r="C33" s="4" t="s">
        <v>30</v>
      </c>
      <c r="D33" s="10">
        <v>16</v>
      </c>
      <c r="E33" s="4" t="s">
        <v>39</v>
      </c>
      <c r="F33" s="14">
        <f t="shared" si="5"/>
        <v>1044</v>
      </c>
      <c r="G33" s="15">
        <v>2</v>
      </c>
      <c r="H33" s="14">
        <f t="shared" si="6"/>
        <v>928</v>
      </c>
      <c r="I33" s="16">
        <f t="shared" si="0"/>
        <v>5800</v>
      </c>
      <c r="J33" s="17">
        <v>2</v>
      </c>
      <c r="K33" s="16">
        <f t="shared" si="7"/>
        <v>870</v>
      </c>
      <c r="L33" s="27">
        <f t="shared" si="8"/>
        <v>4</v>
      </c>
      <c r="M33" s="18">
        <f t="shared" si="9"/>
        <v>2320</v>
      </c>
      <c r="N33" s="18">
        <f t="shared" si="1"/>
        <v>580</v>
      </c>
      <c r="O33" s="18">
        <f t="shared" si="2"/>
        <v>290</v>
      </c>
      <c r="P33" s="18">
        <f t="shared" si="10"/>
        <v>3190</v>
      </c>
      <c r="Q33" s="18">
        <f t="shared" si="3"/>
        <v>5452</v>
      </c>
      <c r="R33" s="19" t="str">
        <f t="shared" si="4"/>
        <v>Estable</v>
      </c>
      <c r="S33" s="23">
        <f t="shared" si="11"/>
        <v>5452</v>
      </c>
      <c r="T33" s="19"/>
      <c r="U33" s="19"/>
      <c r="V33" s="19"/>
      <c r="W33" s="19"/>
      <c r="X33" s="20"/>
      <c r="Y33" s="19"/>
      <c r="Z33" s="20"/>
      <c r="AA33" s="19"/>
    </row>
    <row r="34" spans="2:27" x14ac:dyDescent="0.25">
      <c r="B34" s="4" t="s">
        <v>81</v>
      </c>
      <c r="C34" s="4" t="s">
        <v>31</v>
      </c>
      <c r="D34" s="10">
        <v>12</v>
      </c>
      <c r="E34" s="4" t="s">
        <v>40</v>
      </c>
      <c r="F34" s="14">
        <f t="shared" si="5"/>
        <v>0</v>
      </c>
      <c r="G34" s="15">
        <v>1</v>
      </c>
      <c r="H34" s="14">
        <f t="shared" si="6"/>
        <v>232</v>
      </c>
      <c r="I34" s="16">
        <f t="shared" si="0"/>
        <v>2900</v>
      </c>
      <c r="J34" s="17">
        <v>2</v>
      </c>
      <c r="K34" s="16">
        <f t="shared" si="7"/>
        <v>435</v>
      </c>
      <c r="L34" s="27">
        <f t="shared" si="8"/>
        <v>8</v>
      </c>
      <c r="M34" s="18">
        <f t="shared" si="9"/>
        <v>2320</v>
      </c>
      <c r="N34" s="18">
        <f t="shared" si="1"/>
        <v>0</v>
      </c>
      <c r="O34" s="18">
        <f t="shared" si="2"/>
        <v>0</v>
      </c>
      <c r="P34" s="18">
        <f t="shared" si="10"/>
        <v>2320</v>
      </c>
      <c r="Q34" s="18">
        <f t="shared" si="3"/>
        <v>1247</v>
      </c>
      <c r="R34" s="19" t="str">
        <f t="shared" si="4"/>
        <v>Contratado</v>
      </c>
      <c r="S34" s="23">
        <f t="shared" si="11"/>
        <v>1247</v>
      </c>
      <c r="T34" s="19"/>
      <c r="U34" s="19"/>
      <c r="V34" s="19"/>
      <c r="W34" s="19"/>
      <c r="X34" s="20"/>
      <c r="Y34" s="19"/>
      <c r="Z34" s="21"/>
      <c r="AA34" s="19"/>
    </row>
    <row r="35" spans="2:27" x14ac:dyDescent="0.25">
      <c r="B35" s="4" t="s">
        <v>82</v>
      </c>
      <c r="C35" s="4" t="s">
        <v>32</v>
      </c>
      <c r="D35" s="10">
        <v>16</v>
      </c>
      <c r="E35" s="4" t="s">
        <v>40</v>
      </c>
      <c r="F35" s="14">
        <f t="shared" si="5"/>
        <v>0</v>
      </c>
      <c r="G35" s="15">
        <v>0</v>
      </c>
      <c r="H35" s="14">
        <f t="shared" si="6"/>
        <v>0</v>
      </c>
      <c r="I35" s="16">
        <f t="shared" si="0"/>
        <v>2900</v>
      </c>
      <c r="J35" s="17">
        <v>1</v>
      </c>
      <c r="K35" s="16">
        <f t="shared" si="7"/>
        <v>435</v>
      </c>
      <c r="L35" s="27">
        <f>20-D35</f>
        <v>4</v>
      </c>
      <c r="M35" s="18">
        <f t="shared" si="9"/>
        <v>1160</v>
      </c>
      <c r="N35" s="18">
        <f t="shared" si="1"/>
        <v>0</v>
      </c>
      <c r="O35" s="18">
        <f t="shared" si="2"/>
        <v>0</v>
      </c>
      <c r="P35" s="18">
        <f t="shared" si="10"/>
        <v>1160</v>
      </c>
      <c r="Q35" s="18">
        <f t="shared" si="3"/>
        <v>2175</v>
      </c>
      <c r="R35" s="19" t="str">
        <f t="shared" si="4"/>
        <v>Contratado</v>
      </c>
      <c r="S35" s="23">
        <f t="shared" si="11"/>
        <v>2175</v>
      </c>
      <c r="T35" s="20"/>
      <c r="U35" s="19"/>
      <c r="V35" s="20"/>
      <c r="W35" s="19"/>
      <c r="X35" s="20"/>
      <c r="Y35" s="19"/>
      <c r="Z35" s="21"/>
      <c r="AA35" s="19"/>
    </row>
    <row r="36" spans="2:27" x14ac:dyDescent="0.25">
      <c r="B36" s="4" t="s">
        <v>83</v>
      </c>
      <c r="C36" s="4" t="s">
        <v>33</v>
      </c>
      <c r="D36" s="10">
        <v>20</v>
      </c>
      <c r="E36" s="4" t="s">
        <v>38</v>
      </c>
      <c r="F36" s="14">
        <f t="shared" si="5"/>
        <v>1170</v>
      </c>
      <c r="G36" s="15">
        <v>0</v>
      </c>
      <c r="H36" s="14">
        <f t="shared" si="6"/>
        <v>0</v>
      </c>
      <c r="I36" s="16">
        <f t="shared" si="0"/>
        <v>6500</v>
      </c>
      <c r="J36" s="17">
        <v>0</v>
      </c>
      <c r="K36" s="16">
        <f t="shared" si="7"/>
        <v>0</v>
      </c>
      <c r="L36" s="27">
        <f t="shared" si="8"/>
        <v>0</v>
      </c>
      <c r="M36" s="18">
        <f t="shared" si="9"/>
        <v>0</v>
      </c>
      <c r="N36" s="18">
        <f t="shared" si="1"/>
        <v>650</v>
      </c>
      <c r="O36" s="18">
        <f t="shared" si="2"/>
        <v>325</v>
      </c>
      <c r="P36" s="18">
        <f t="shared" si="10"/>
        <v>975</v>
      </c>
      <c r="Q36" s="18">
        <f t="shared" si="3"/>
        <v>6695</v>
      </c>
      <c r="R36" s="19" t="str">
        <f t="shared" si="4"/>
        <v>Estable</v>
      </c>
      <c r="S36" s="23">
        <f t="shared" si="11"/>
        <v>6695</v>
      </c>
      <c r="T36" s="20"/>
      <c r="U36" s="19"/>
      <c r="V36" s="20"/>
      <c r="W36" s="19"/>
      <c r="X36" s="21"/>
      <c r="Y36" s="19"/>
      <c r="Z36" s="21"/>
      <c r="AA36" s="19"/>
    </row>
    <row r="37" spans="2:27" x14ac:dyDescent="0.25">
      <c r="B37" s="4" t="s">
        <v>84</v>
      </c>
      <c r="C37" s="4" t="s">
        <v>34</v>
      </c>
      <c r="D37" s="10">
        <v>18</v>
      </c>
      <c r="E37" s="4" t="s">
        <v>42</v>
      </c>
      <c r="F37" s="14">
        <f t="shared" si="5"/>
        <v>0</v>
      </c>
      <c r="G37" s="15">
        <v>1</v>
      </c>
      <c r="H37" s="14">
        <f t="shared" si="6"/>
        <v>192</v>
      </c>
      <c r="I37" s="16">
        <f t="shared" si="0"/>
        <v>2400</v>
      </c>
      <c r="J37" s="17">
        <v>1</v>
      </c>
      <c r="K37" s="16">
        <f t="shared" si="7"/>
        <v>360</v>
      </c>
      <c r="L37" s="27">
        <f t="shared" si="8"/>
        <v>2</v>
      </c>
      <c r="M37" s="18">
        <f t="shared" si="9"/>
        <v>480</v>
      </c>
      <c r="N37" s="18">
        <f t="shared" si="1"/>
        <v>0</v>
      </c>
      <c r="O37" s="18">
        <f t="shared" si="2"/>
        <v>0</v>
      </c>
      <c r="P37" s="18">
        <f t="shared" si="10"/>
        <v>480</v>
      </c>
      <c r="Q37" s="18">
        <f t="shared" si="3"/>
        <v>2472</v>
      </c>
      <c r="R37" s="19" t="str">
        <f t="shared" si="4"/>
        <v>Eventual</v>
      </c>
      <c r="S37" s="23">
        <f t="shared" si="11"/>
        <v>2472</v>
      </c>
      <c r="T37" s="20"/>
      <c r="U37" s="19"/>
      <c r="V37" s="20"/>
      <c r="W37" s="19"/>
      <c r="X37" s="20"/>
      <c r="Y37" s="19"/>
      <c r="Z37" s="21"/>
      <c r="AA37" s="19"/>
    </row>
    <row r="38" spans="2:27" x14ac:dyDescent="0.25">
      <c r="B38" s="4" t="s">
        <v>85</v>
      </c>
      <c r="C38" s="4" t="s">
        <v>35</v>
      </c>
      <c r="D38" s="10">
        <v>17</v>
      </c>
      <c r="E38" s="4" t="s">
        <v>42</v>
      </c>
      <c r="F38" s="14">
        <f t="shared" si="5"/>
        <v>0</v>
      </c>
      <c r="G38" s="15">
        <v>0</v>
      </c>
      <c r="H38" s="14">
        <f t="shared" si="6"/>
        <v>0</v>
      </c>
      <c r="I38" s="16">
        <f t="shared" si="0"/>
        <v>2400</v>
      </c>
      <c r="J38" s="17">
        <v>1</v>
      </c>
      <c r="K38" s="16">
        <f t="shared" si="7"/>
        <v>360</v>
      </c>
      <c r="L38" s="27">
        <f t="shared" si="8"/>
        <v>3</v>
      </c>
      <c r="M38" s="18">
        <f t="shared" si="9"/>
        <v>720</v>
      </c>
      <c r="N38" s="18">
        <f t="shared" si="1"/>
        <v>0</v>
      </c>
      <c r="O38" s="18">
        <f t="shared" si="2"/>
        <v>0</v>
      </c>
      <c r="P38" s="18">
        <f t="shared" si="10"/>
        <v>720</v>
      </c>
      <c r="Q38" s="18">
        <f t="shared" si="3"/>
        <v>2040</v>
      </c>
      <c r="R38" s="19" t="str">
        <f t="shared" si="4"/>
        <v>Eventual</v>
      </c>
      <c r="S38" s="23">
        <f t="shared" si="11"/>
        <v>2040</v>
      </c>
      <c r="T38" s="20"/>
      <c r="U38" s="19"/>
      <c r="V38" s="20"/>
      <c r="W38" s="19"/>
      <c r="X38" s="20"/>
      <c r="Y38" s="19"/>
      <c r="Z38" s="21"/>
      <c r="AA38" s="19"/>
    </row>
    <row r="39" spans="2:27" x14ac:dyDescent="0.25">
      <c r="B39" s="4" t="s">
        <v>86</v>
      </c>
      <c r="C39" s="4" t="s">
        <v>36</v>
      </c>
      <c r="D39" s="10">
        <v>19</v>
      </c>
      <c r="E39" s="4" t="s">
        <v>43</v>
      </c>
      <c r="F39" s="14">
        <f t="shared" si="5"/>
        <v>774</v>
      </c>
      <c r="G39" s="15">
        <v>0</v>
      </c>
      <c r="H39" s="14">
        <f t="shared" si="6"/>
        <v>0</v>
      </c>
      <c r="I39" s="16">
        <f t="shared" si="0"/>
        <v>4300</v>
      </c>
      <c r="J39" s="17">
        <v>2</v>
      </c>
      <c r="K39" s="16">
        <f t="shared" si="7"/>
        <v>645</v>
      </c>
      <c r="L39" s="27">
        <f t="shared" si="8"/>
        <v>1</v>
      </c>
      <c r="M39" s="18">
        <f t="shared" si="9"/>
        <v>430</v>
      </c>
      <c r="N39" s="18">
        <f t="shared" si="1"/>
        <v>430</v>
      </c>
      <c r="O39" s="18">
        <f t="shared" si="2"/>
        <v>215</v>
      </c>
      <c r="P39" s="18">
        <f t="shared" si="10"/>
        <v>1075</v>
      </c>
      <c r="Q39" s="18">
        <f t="shared" si="3"/>
        <v>4644</v>
      </c>
      <c r="R39" s="19" t="str">
        <f t="shared" si="4"/>
        <v>Contratado</v>
      </c>
      <c r="S39" s="23">
        <f t="shared" si="11"/>
        <v>4644</v>
      </c>
      <c r="T39" s="20"/>
      <c r="U39" s="19"/>
      <c r="V39" s="20"/>
      <c r="W39" s="19"/>
      <c r="X39" s="20"/>
      <c r="Y39" s="19"/>
      <c r="Z39" s="21"/>
      <c r="AA39" s="19"/>
    </row>
    <row r="40" spans="2:27" x14ac:dyDescent="0.25">
      <c r="B40" s="4" t="s">
        <v>87</v>
      </c>
      <c r="C40" s="4" t="s">
        <v>37</v>
      </c>
      <c r="D40" s="10">
        <v>20</v>
      </c>
      <c r="E40" s="4" t="s">
        <v>42</v>
      </c>
      <c r="F40" s="14">
        <f t="shared" si="5"/>
        <v>0</v>
      </c>
      <c r="G40" s="15">
        <v>2</v>
      </c>
      <c r="H40" s="14">
        <f t="shared" ref="H40" si="12">(I40*G40)*0.08</f>
        <v>384</v>
      </c>
      <c r="I40" s="16">
        <f t="shared" si="0"/>
        <v>2400</v>
      </c>
      <c r="J40" s="17">
        <v>0</v>
      </c>
      <c r="K40" s="16">
        <f t="shared" si="7"/>
        <v>0</v>
      </c>
      <c r="L40" s="27">
        <f t="shared" si="8"/>
        <v>0</v>
      </c>
      <c r="M40" s="18">
        <f t="shared" si="9"/>
        <v>0</v>
      </c>
      <c r="N40" s="18">
        <f t="shared" si="1"/>
        <v>0</v>
      </c>
      <c r="O40" s="18">
        <f t="shared" si="2"/>
        <v>0</v>
      </c>
      <c r="P40" s="18">
        <f t="shared" si="10"/>
        <v>0</v>
      </c>
      <c r="Q40" s="18">
        <f t="shared" si="3"/>
        <v>2784</v>
      </c>
      <c r="R40" s="19" t="str">
        <f t="shared" si="4"/>
        <v>Eventual</v>
      </c>
      <c r="S40" s="23">
        <f t="shared" si="11"/>
        <v>2784</v>
      </c>
      <c r="T40" s="20"/>
      <c r="U40" s="19"/>
      <c r="V40" s="20"/>
      <c r="W40" s="19"/>
      <c r="X40" s="20"/>
      <c r="Y40" s="19"/>
      <c r="Z40" s="21"/>
      <c r="AA40" s="19"/>
    </row>
    <row r="41" spans="2:27" x14ac:dyDescent="0.25">
      <c r="G41" s="16"/>
      <c r="H41" s="34">
        <f t="shared" ref="H41:Q41" si="13">SUM(H21:H40)</f>
        <v>4960</v>
      </c>
      <c r="I41" s="34">
        <f t="shared" si="13"/>
        <v>73100</v>
      </c>
      <c r="J41" s="35">
        <f t="shared" si="13"/>
        <v>29</v>
      </c>
      <c r="K41" s="34">
        <f t="shared" si="13"/>
        <v>7515</v>
      </c>
      <c r="L41" s="35">
        <f t="shared" si="13"/>
        <v>39</v>
      </c>
      <c r="M41" s="34">
        <f t="shared" si="13"/>
        <v>12190</v>
      </c>
      <c r="N41" s="34">
        <f t="shared" si="13"/>
        <v>4280</v>
      </c>
      <c r="O41" s="34">
        <f t="shared" si="13"/>
        <v>2140</v>
      </c>
      <c r="P41" s="34">
        <f t="shared" si="13"/>
        <v>18610</v>
      </c>
      <c r="Q41" s="34">
        <f t="shared" si="13"/>
        <v>74669</v>
      </c>
      <c r="S41" s="19"/>
      <c r="T41" s="22"/>
      <c r="U41" s="4"/>
      <c r="V41" s="22"/>
      <c r="W41" s="4"/>
      <c r="X41" s="22"/>
      <c r="Y41" s="4"/>
      <c r="Z41" s="22"/>
    </row>
    <row r="42" spans="2:27" x14ac:dyDescent="0.25">
      <c r="B42" s="4"/>
      <c r="C42" s="4"/>
      <c r="G42" s="4"/>
      <c r="O42" s="23"/>
    </row>
    <row r="43" spans="2:27" x14ac:dyDescent="0.25">
      <c r="B43" s="4"/>
      <c r="C43" s="4"/>
      <c r="G43" s="4"/>
    </row>
    <row r="44" spans="2:27" ht="39.75" customHeight="1" x14ac:dyDescent="0.25">
      <c r="H44" s="4"/>
    </row>
    <row r="45" spans="2:27" ht="22.5" customHeight="1" x14ac:dyDescent="0.25"/>
    <row r="46" spans="2:27" ht="28.5" customHeight="1" x14ac:dyDescent="0.25">
      <c r="J46" s="2"/>
      <c r="L46" s="2"/>
    </row>
    <row r="47" spans="2:27" ht="38.25" customHeight="1" x14ac:dyDescent="0.25">
      <c r="J47" s="2"/>
      <c r="L47" s="2"/>
    </row>
    <row r="48" spans="2:27" ht="39.75" customHeight="1" x14ac:dyDescent="0.25">
      <c r="J48" s="2"/>
      <c r="L48" s="2"/>
    </row>
    <row r="49" spans="10:12" x14ac:dyDescent="0.25">
      <c r="J49" s="2"/>
      <c r="L49" s="2"/>
    </row>
    <row r="50" spans="10:12" x14ac:dyDescent="0.25">
      <c r="J50" s="2"/>
      <c r="L50" s="2"/>
    </row>
    <row r="51" spans="10:12" x14ac:dyDescent="0.25">
      <c r="J51" s="2"/>
      <c r="L51" s="2"/>
    </row>
    <row r="52" spans="10:12" x14ac:dyDescent="0.25">
      <c r="J52" s="2"/>
      <c r="L52" s="2"/>
    </row>
    <row r="53" spans="10:12" ht="37.5" customHeight="1" x14ac:dyDescent="0.25">
      <c r="J53" s="2"/>
      <c r="L53" s="2"/>
    </row>
    <row r="54" spans="10:12" ht="34.5" customHeight="1" x14ac:dyDescent="0.25">
      <c r="J54" s="2"/>
      <c r="L54" s="2"/>
    </row>
    <row r="55" spans="10:12" x14ac:dyDescent="0.25">
      <c r="J55" s="2"/>
      <c r="L55" s="2"/>
    </row>
    <row r="56" spans="10:12" x14ac:dyDescent="0.25">
      <c r="J56" s="2"/>
      <c r="L56" s="2"/>
    </row>
    <row r="57" spans="10:12" x14ac:dyDescent="0.25">
      <c r="J57" s="2"/>
      <c r="L57" s="2"/>
    </row>
    <row r="58" spans="10:12" x14ac:dyDescent="0.25">
      <c r="J58" s="2"/>
      <c r="L58" s="2"/>
    </row>
    <row r="59" spans="10:12" x14ac:dyDescent="0.25">
      <c r="J59" s="2"/>
      <c r="L59" s="2"/>
    </row>
    <row r="60" spans="10:12" x14ac:dyDescent="0.25">
      <c r="J60" s="2"/>
      <c r="L60" s="2"/>
    </row>
    <row r="61" spans="10:12" x14ac:dyDescent="0.25">
      <c r="J61" s="2"/>
      <c r="L61" s="2"/>
    </row>
    <row r="62" spans="10:12" x14ac:dyDescent="0.25">
      <c r="J62" s="2"/>
      <c r="L62" s="2"/>
    </row>
    <row r="63" spans="10:12" x14ac:dyDescent="0.25">
      <c r="J63" s="2"/>
      <c r="L63" s="2"/>
    </row>
    <row r="64" spans="10:12" ht="38.25" customHeight="1" x14ac:dyDescent="0.25">
      <c r="J64" s="2"/>
      <c r="L64" s="2"/>
    </row>
    <row r="65" spans="10:12" ht="42" customHeight="1" x14ac:dyDescent="0.25">
      <c r="J65" s="2"/>
      <c r="L65" s="2"/>
    </row>
    <row r="66" spans="10:12" x14ac:dyDescent="0.25">
      <c r="J66" s="2"/>
      <c r="L66" s="2"/>
    </row>
    <row r="67" spans="10:12" x14ac:dyDescent="0.25">
      <c r="J67" s="2"/>
      <c r="L67" s="2"/>
    </row>
    <row r="68" spans="10:12" x14ac:dyDescent="0.25">
      <c r="J68" s="2"/>
      <c r="L68" s="2"/>
    </row>
    <row r="69" spans="10:12" x14ac:dyDescent="0.25">
      <c r="J69" s="2"/>
      <c r="L69" s="2"/>
    </row>
    <row r="70" spans="10:12" x14ac:dyDescent="0.25">
      <c r="J70" s="2"/>
      <c r="L70" s="2"/>
    </row>
    <row r="71" spans="10:12" x14ac:dyDescent="0.25">
      <c r="J71" s="2"/>
      <c r="L71" s="2"/>
    </row>
  </sheetData>
  <mergeCells count="1">
    <mergeCell ref="K4:L4"/>
  </mergeCells>
  <conditionalFormatting sqref="R21:R40">
    <cfRule type="containsText" dxfId="23" priority="2" operator="containsText" text="Contratado">
      <formula>NOT(ISERROR(SEARCH("Contratado",R21)))</formula>
    </cfRule>
    <cfRule type="containsText" dxfId="22" priority="3" operator="containsText" text="Estable">
      <formula>NOT(ISERROR(SEARCH("Estable",R21)))</formula>
    </cfRule>
    <cfRule type="containsText" dxfId="21" priority="4" operator="containsText" text="Eventual">
      <formula>NOT(ISERROR(SEARCH("Eventual",R21)))</formula>
    </cfRule>
  </conditionalFormatting>
  <conditionalFormatting sqref="S21:S40">
    <cfRule type="dataBar" priority="1">
      <dataBar showValue="0">
        <cfvo type="min"/>
        <cfvo type="max"/>
        <color rgb="FF00B050"/>
      </dataBar>
      <extLst>
        <ext xmlns:x14="http://schemas.microsoft.com/office/spreadsheetml/2009/9/main" uri="{B025F937-C7B1-47D3-B67F-A62EFF666E3E}">
          <x14:id>{C0D83503-BB53-4544-8B02-0401A3B2B74F}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D83503-BB53-4544-8B02-0401A3B2B7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S21:S40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9E38-8177-4EA2-BF2F-71B7D30ABD68}">
  <sheetPr>
    <tabColor theme="9"/>
  </sheetPr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2A31A-0B25-46C7-8568-D4F25800013D}">
  <sheetPr>
    <tabColor theme="1"/>
  </sheetPr>
  <dimension ref="A1:G36"/>
  <sheetViews>
    <sheetView tabSelected="1" workbookViewId="0"/>
  </sheetViews>
  <sheetFormatPr baseColWidth="10" defaultRowHeight="12.75" x14ac:dyDescent="0.2"/>
  <cols>
    <col min="1" max="1" width="30.7109375" customWidth="1"/>
    <col min="2" max="2" width="42.5703125" customWidth="1"/>
    <col min="3" max="3" width="22.42578125" customWidth="1"/>
    <col min="4" max="4" width="20.140625" customWidth="1"/>
    <col min="5" max="5" width="19.5703125" customWidth="1"/>
    <col min="6" max="6" width="35.85546875" customWidth="1"/>
  </cols>
  <sheetData>
    <row r="1" spans="1:7" ht="15" x14ac:dyDescent="0.25">
      <c r="A1" s="2"/>
      <c r="B1" s="81" t="s">
        <v>7</v>
      </c>
      <c r="C1" s="81"/>
      <c r="D1" s="2"/>
      <c r="E1" s="2"/>
      <c r="F1" s="2"/>
      <c r="G1" s="4"/>
    </row>
    <row r="2" spans="1:7" ht="15" x14ac:dyDescent="0.25">
      <c r="A2" s="2"/>
      <c r="B2" s="84" t="s">
        <v>8</v>
      </c>
      <c r="C2" s="84"/>
      <c r="D2" s="2"/>
      <c r="E2" s="2"/>
      <c r="F2" s="2"/>
      <c r="G2" s="4"/>
    </row>
    <row r="3" spans="1:7" ht="15" x14ac:dyDescent="0.25">
      <c r="A3" s="2"/>
      <c r="B3" s="84"/>
      <c r="C3" s="84"/>
      <c r="D3" s="2"/>
      <c r="E3" s="2"/>
      <c r="F3" s="2"/>
      <c r="G3" s="2"/>
    </row>
    <row r="4" spans="1:7" ht="15" x14ac:dyDescent="0.25">
      <c r="A4" s="2"/>
      <c r="B4" s="36" t="s">
        <v>9</v>
      </c>
      <c r="C4" s="24">
        <f>COUNTA('TABLA GENERAL'!C21:C40)</f>
        <v>20</v>
      </c>
      <c r="D4" s="2"/>
      <c r="E4" s="2"/>
      <c r="F4" s="2"/>
      <c r="G4" s="2"/>
    </row>
    <row r="5" spans="1:7" ht="15" x14ac:dyDescent="0.25">
      <c r="A5" s="2"/>
      <c r="B5" s="36" t="s">
        <v>10</v>
      </c>
      <c r="C5" s="25">
        <f>AVERAGE('TABLA GENERAL'!Q21:Q40)</f>
        <v>3733.45</v>
      </c>
      <c r="D5" s="2"/>
      <c r="E5" s="2"/>
      <c r="F5" s="2"/>
      <c r="G5" s="2"/>
    </row>
    <row r="6" spans="1:7" ht="15" x14ac:dyDescent="0.25">
      <c r="A6" s="2"/>
      <c r="B6" s="36" t="s">
        <v>11</v>
      </c>
      <c r="C6" s="25">
        <f>MAX('TABLA GENERAL'!I21:I40)</f>
        <v>6500</v>
      </c>
      <c r="D6" s="2"/>
      <c r="E6" s="2"/>
      <c r="F6" s="2"/>
      <c r="G6" s="2"/>
    </row>
    <row r="7" spans="1:7" ht="15" x14ac:dyDescent="0.25">
      <c r="A7" s="2"/>
      <c r="B7" s="36" t="s">
        <v>12</v>
      </c>
      <c r="C7" s="25">
        <f>MIN('TABLA GENERAL'!I21:I40)</f>
        <v>2300</v>
      </c>
      <c r="D7" s="2"/>
      <c r="E7" s="2"/>
      <c r="F7" s="2"/>
      <c r="G7" s="2"/>
    </row>
    <row r="8" spans="1:7" ht="15" x14ac:dyDescent="0.25">
      <c r="A8" s="2"/>
      <c r="B8" s="36" t="s">
        <v>13</v>
      </c>
      <c r="C8" s="25">
        <f>SUM('TABLA GENERAL'!I21:I40)</f>
        <v>73100</v>
      </c>
      <c r="D8" s="2"/>
      <c r="E8" s="2"/>
      <c r="F8" s="2"/>
      <c r="G8" s="2"/>
    </row>
    <row r="9" spans="1:7" ht="27.75" customHeight="1" x14ac:dyDescent="0.25">
      <c r="A9" s="2"/>
      <c r="B9" s="2"/>
      <c r="C9" s="2"/>
      <c r="D9" s="2"/>
      <c r="E9" s="2"/>
      <c r="F9" s="2"/>
      <c r="G9" s="2"/>
    </row>
    <row r="10" spans="1:7" ht="15" x14ac:dyDescent="0.25">
      <c r="A10" s="2"/>
      <c r="B10" s="82" t="s">
        <v>14</v>
      </c>
      <c r="C10" s="82"/>
      <c r="D10" s="2"/>
      <c r="E10" s="2"/>
      <c r="F10" s="2"/>
      <c r="G10" s="2"/>
    </row>
    <row r="11" spans="1:7" ht="15" x14ac:dyDescent="0.25">
      <c r="A11" s="2"/>
      <c r="B11" s="83" t="s">
        <v>15</v>
      </c>
      <c r="C11" s="83"/>
      <c r="D11" s="2"/>
      <c r="E11" s="2"/>
      <c r="F11" s="2"/>
      <c r="G11" s="2"/>
    </row>
    <row r="12" spans="1:7" ht="15" x14ac:dyDescent="0.25">
      <c r="A12" s="2"/>
      <c r="B12" s="26" t="s">
        <v>0</v>
      </c>
      <c r="C12" s="24">
        <f>COUNTIF('TABLA GENERAL'!$E$21:$E$40,B12)</f>
        <v>2</v>
      </c>
      <c r="D12" s="2"/>
      <c r="E12" s="2"/>
      <c r="F12" s="2"/>
      <c r="G12" s="2"/>
    </row>
    <row r="13" spans="1:7" ht="15" x14ac:dyDescent="0.25">
      <c r="A13" s="2"/>
      <c r="B13" s="26" t="s">
        <v>38</v>
      </c>
      <c r="C13" s="24">
        <f>COUNTIF('TABLA GENERAL'!$E$21:$E$40,B13)</f>
        <v>2</v>
      </c>
      <c r="D13" s="2"/>
      <c r="E13" s="2"/>
      <c r="F13" s="2"/>
      <c r="G13" s="2"/>
    </row>
    <row r="14" spans="1:7" ht="15" x14ac:dyDescent="0.25">
      <c r="A14" s="2"/>
      <c r="B14" s="26" t="s">
        <v>39</v>
      </c>
      <c r="C14" s="24">
        <f>COUNTIF('TABLA GENERAL'!$E$21:$E$40,B14)</f>
        <v>3</v>
      </c>
      <c r="D14" s="2"/>
      <c r="E14" s="2"/>
      <c r="F14" s="2"/>
      <c r="G14" s="2"/>
    </row>
    <row r="15" spans="1:7" ht="15" x14ac:dyDescent="0.25">
      <c r="A15" s="2"/>
      <c r="B15" s="26" t="s">
        <v>40</v>
      </c>
      <c r="C15" s="24">
        <f>COUNTIF('TABLA GENERAL'!$E$21:$E$40,B15)</f>
        <v>3</v>
      </c>
      <c r="D15" s="2"/>
      <c r="E15" s="2"/>
      <c r="F15" s="2"/>
      <c r="G15" s="2"/>
    </row>
    <row r="16" spans="1:7" ht="15" x14ac:dyDescent="0.25">
      <c r="A16" s="2"/>
      <c r="B16" s="26" t="s">
        <v>41</v>
      </c>
      <c r="C16" s="24">
        <f>COUNTIF('TABLA GENERAL'!$E$21:$E$40,B16)</f>
        <v>2</v>
      </c>
      <c r="D16" s="2"/>
      <c r="E16" s="2"/>
      <c r="F16" s="2"/>
      <c r="G16" s="2"/>
    </row>
    <row r="17" spans="1:7" ht="15" x14ac:dyDescent="0.25">
      <c r="A17" s="2"/>
      <c r="B17" s="26" t="s">
        <v>42</v>
      </c>
      <c r="C17" s="24">
        <f>COUNTIF('TABLA GENERAL'!$E$21:$E$40,B17)</f>
        <v>5</v>
      </c>
      <c r="D17" s="2"/>
      <c r="E17" s="2"/>
      <c r="F17" s="2"/>
      <c r="G17" s="2"/>
    </row>
    <row r="18" spans="1:7" ht="15" x14ac:dyDescent="0.25">
      <c r="A18" s="2"/>
      <c r="B18" s="26" t="s">
        <v>43</v>
      </c>
      <c r="C18" s="24">
        <f>COUNTIF('TABLA GENERAL'!$E$21:$E$40,B18)</f>
        <v>2</v>
      </c>
      <c r="D18" s="2"/>
      <c r="E18" s="2"/>
      <c r="F18" s="2"/>
      <c r="G18" s="2"/>
    </row>
    <row r="19" spans="1:7" ht="15" x14ac:dyDescent="0.25">
      <c r="A19" s="2"/>
      <c r="B19" s="37" t="s">
        <v>44</v>
      </c>
      <c r="C19" s="24">
        <f>COUNTIF('TABLA GENERAL'!$E$21:$E$40,B19)</f>
        <v>1</v>
      </c>
      <c r="D19" s="2"/>
      <c r="E19" s="2"/>
      <c r="F19" s="2"/>
      <c r="G19" s="2"/>
    </row>
    <row r="20" spans="1:7" ht="15" x14ac:dyDescent="0.25">
      <c r="A20" s="2"/>
      <c r="B20" s="2"/>
      <c r="C20" s="2"/>
      <c r="D20" s="2"/>
      <c r="E20" s="2"/>
      <c r="F20" s="2"/>
      <c r="G20" s="2"/>
    </row>
    <row r="21" spans="1:7" ht="15" x14ac:dyDescent="0.25">
      <c r="A21" s="2"/>
      <c r="B21" s="82" t="s">
        <v>16</v>
      </c>
      <c r="C21" s="82"/>
      <c r="D21" s="2"/>
      <c r="E21" s="2"/>
      <c r="F21" s="2"/>
      <c r="G21" s="2"/>
    </row>
    <row r="22" spans="1:7" ht="15" x14ac:dyDescent="0.25">
      <c r="A22" s="2"/>
      <c r="B22" s="83" t="s">
        <v>15</v>
      </c>
      <c r="C22" s="83"/>
      <c r="D22" s="2"/>
      <c r="E22" s="2"/>
      <c r="F22" s="2"/>
      <c r="G22" s="2"/>
    </row>
    <row r="23" spans="1:7" ht="15" x14ac:dyDescent="0.25">
      <c r="A23" s="2"/>
      <c r="B23" s="26" t="s">
        <v>0</v>
      </c>
      <c r="C23" s="25">
        <f ca="1">SUMIF('TABLA GENERAL'!$E$21:$Q$40,B23,'TABLA GENERAL'!$Q$21:$Q$40)</f>
        <v>5525</v>
      </c>
      <c r="D23" s="2"/>
      <c r="E23" s="2"/>
      <c r="F23" s="2"/>
      <c r="G23" s="2"/>
    </row>
    <row r="24" spans="1:7" ht="15" x14ac:dyDescent="0.25">
      <c r="A24" s="2"/>
      <c r="B24" s="26" t="s">
        <v>38</v>
      </c>
      <c r="C24" s="25">
        <f ca="1">SUMIF('TABLA GENERAL'!$E$21:$Q$40,B24,'TABLA GENERAL'!$Q$21:$Q$40)</f>
        <v>14365</v>
      </c>
      <c r="D24" s="2"/>
      <c r="E24" s="2"/>
      <c r="F24" s="2"/>
      <c r="G24" s="2"/>
    </row>
    <row r="25" spans="1:7" ht="15" x14ac:dyDescent="0.25">
      <c r="A25" s="2"/>
      <c r="B25" s="26" t="s">
        <v>39</v>
      </c>
      <c r="C25" s="25">
        <f ca="1">SUMIF('TABLA GENERAL'!$E$21:$Q$40,B25,'TABLA GENERAL'!$Q$21:$Q$40)</f>
        <v>17748</v>
      </c>
      <c r="D25" s="2"/>
      <c r="E25" s="2"/>
      <c r="F25" s="2"/>
      <c r="G25" s="2"/>
    </row>
    <row r="26" spans="1:7" ht="15" x14ac:dyDescent="0.25">
      <c r="A26" s="2"/>
      <c r="B26" s="26" t="s">
        <v>40</v>
      </c>
      <c r="C26" s="25">
        <f ca="1">SUMIF('TABLA GENERAL'!$E$21:$Q$40,B26,'TABLA GENERAL'!$Q$21:$Q$40)</f>
        <v>5307</v>
      </c>
      <c r="D26" s="2"/>
      <c r="E26" s="2"/>
      <c r="F26" s="2"/>
      <c r="G26" s="2"/>
    </row>
    <row r="27" spans="1:7" ht="15" x14ac:dyDescent="0.25">
      <c r="A27" s="2"/>
      <c r="B27" s="26" t="s">
        <v>41</v>
      </c>
      <c r="C27" s="25">
        <f ca="1">SUMIF('TABLA GENERAL'!$E$21:$Q$40,B27,'TABLA GENERAL'!$Q$21:$Q$40)</f>
        <v>4278</v>
      </c>
      <c r="D27" s="2"/>
      <c r="E27" s="2"/>
      <c r="F27" s="2"/>
      <c r="G27" s="2"/>
    </row>
    <row r="28" spans="1:7" ht="15" x14ac:dyDescent="0.25">
      <c r="A28" s="2"/>
      <c r="B28" s="26" t="s">
        <v>42</v>
      </c>
      <c r="C28" s="25">
        <f ca="1">SUMIF('TABLA GENERAL'!$E$21:$Q$40,B28,'TABLA GENERAL'!$Q$21:$Q$40)</f>
        <v>12672</v>
      </c>
      <c r="D28" s="2"/>
      <c r="E28" s="2"/>
      <c r="F28" s="2"/>
      <c r="G28" s="2"/>
    </row>
    <row r="29" spans="1:7" ht="15" x14ac:dyDescent="0.25">
      <c r="A29" s="2"/>
      <c r="B29" s="26" t="s">
        <v>43</v>
      </c>
      <c r="C29" s="25">
        <f ca="1">SUMIF('TABLA GENERAL'!$E$21:$Q$40,B29,'TABLA GENERAL'!$Q$21:$Q$40)</f>
        <v>10062</v>
      </c>
      <c r="D29" s="2"/>
      <c r="E29" s="2"/>
      <c r="F29" s="2"/>
      <c r="G29" s="2"/>
    </row>
    <row r="30" spans="1:7" ht="15" x14ac:dyDescent="0.25">
      <c r="A30" s="2"/>
      <c r="B30" s="37" t="s">
        <v>44</v>
      </c>
      <c r="C30" s="25">
        <f ca="1">SUMIF('TABLA GENERAL'!$E$21:$Q$40,B30,'TABLA GENERAL'!$Q$21:$Q$40)</f>
        <v>4712</v>
      </c>
      <c r="D30" s="2"/>
      <c r="E30" s="2"/>
      <c r="F30" s="2"/>
      <c r="G30" s="4"/>
    </row>
    <row r="31" spans="1:7" ht="15" x14ac:dyDescent="0.25">
      <c r="A31" s="2"/>
      <c r="B31" s="2"/>
      <c r="C31" s="2"/>
      <c r="D31" s="2"/>
      <c r="E31" s="2"/>
      <c r="F31" s="2"/>
      <c r="G31" s="4"/>
    </row>
    <row r="32" spans="1:7" ht="15" x14ac:dyDescent="0.25">
      <c r="A32" s="2"/>
      <c r="B32" s="2"/>
      <c r="C32" s="2"/>
      <c r="D32" s="2"/>
      <c r="E32" s="2"/>
      <c r="F32" s="2"/>
      <c r="G32" s="2"/>
    </row>
    <row r="33" spans="1:7" ht="15" x14ac:dyDescent="0.25">
      <c r="A33" s="2"/>
      <c r="B33" s="2"/>
      <c r="C33" s="2"/>
      <c r="D33" s="2"/>
      <c r="E33" s="2"/>
      <c r="F33" s="2"/>
      <c r="G33" s="2"/>
    </row>
    <row r="34" spans="1:7" ht="15" x14ac:dyDescent="0.25">
      <c r="A34" s="2"/>
      <c r="B34" s="2"/>
      <c r="C34" s="2"/>
      <c r="D34" s="2"/>
      <c r="E34" s="2"/>
      <c r="F34" s="2"/>
      <c r="G34" s="2"/>
    </row>
    <row r="35" spans="1:7" ht="15" x14ac:dyDescent="0.25">
      <c r="A35" s="2"/>
      <c r="B35" s="2"/>
      <c r="C35" s="2"/>
      <c r="D35" s="2"/>
      <c r="E35" s="2"/>
      <c r="F35" s="2"/>
      <c r="G35" s="2"/>
    </row>
    <row r="36" spans="1:7" ht="15" x14ac:dyDescent="0.25">
      <c r="A36" s="2"/>
      <c r="B36" s="2"/>
      <c r="C36" s="2"/>
      <c r="D36" s="2"/>
      <c r="E36" s="2"/>
      <c r="F36" s="2"/>
      <c r="G36" s="2"/>
    </row>
  </sheetData>
  <mergeCells count="6">
    <mergeCell ref="B1:C1"/>
    <mergeCell ref="B10:C10"/>
    <mergeCell ref="B11:C11"/>
    <mergeCell ref="B21:C21"/>
    <mergeCell ref="B22:C22"/>
    <mergeCell ref="B2:C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5"/>
  </sheetPr>
  <dimension ref="B3:D22"/>
  <sheetViews>
    <sheetView showGridLines="0" workbookViewId="0">
      <selection activeCell="F13" sqref="F13"/>
    </sheetView>
  </sheetViews>
  <sheetFormatPr baseColWidth="10" defaultColWidth="9.140625" defaultRowHeight="12.75" x14ac:dyDescent="0.2"/>
  <cols>
    <col min="2" max="2" width="5.5703125" style="1" customWidth="1"/>
    <col min="3" max="3" width="26.140625" customWidth="1"/>
    <col min="4" max="4" width="27" customWidth="1"/>
    <col min="9" max="9" width="32.7109375" customWidth="1"/>
  </cols>
  <sheetData>
    <row r="3" spans="2:4" ht="29.25" customHeight="1" x14ac:dyDescent="0.2">
      <c r="C3" s="42" t="s">
        <v>3</v>
      </c>
      <c r="D3" s="43" t="s">
        <v>82</v>
      </c>
    </row>
    <row r="6" spans="2:4" ht="18" customHeight="1" x14ac:dyDescent="0.2"/>
    <row r="7" spans="2:4" s="72" customFormat="1" ht="20.25" customHeight="1" x14ac:dyDescent="0.2">
      <c r="B7" s="73">
        <v>2</v>
      </c>
      <c r="C7" s="76" t="s">
        <v>67</v>
      </c>
      <c r="D7" s="74" t="str">
        <f t="shared" ref="D7:D21" si="0">IF(D$3="","",VLOOKUP($D$3,DATOS,B7,0))</f>
        <v>Rios Suarez, Oscar</v>
      </c>
    </row>
    <row r="8" spans="2:4" s="72" customFormat="1" ht="20.25" customHeight="1" x14ac:dyDescent="0.2">
      <c r="B8" s="73">
        <v>3</v>
      </c>
      <c r="C8" s="76" t="s">
        <v>57</v>
      </c>
      <c r="D8" s="74">
        <f t="shared" si="0"/>
        <v>16</v>
      </c>
    </row>
    <row r="9" spans="2:4" s="72" customFormat="1" ht="20.25" customHeight="1" x14ac:dyDescent="0.2">
      <c r="B9" s="73">
        <v>4</v>
      </c>
      <c r="C9" s="76" t="s">
        <v>58</v>
      </c>
      <c r="D9" s="74" t="str">
        <f t="shared" si="0"/>
        <v>Operario</v>
      </c>
    </row>
    <row r="10" spans="2:4" s="72" customFormat="1" ht="20.25" customHeight="1" x14ac:dyDescent="0.2">
      <c r="B10" s="73">
        <v>5</v>
      </c>
      <c r="C10" s="76" t="s">
        <v>56</v>
      </c>
      <c r="D10" s="75">
        <f t="shared" si="0"/>
        <v>0</v>
      </c>
    </row>
    <row r="11" spans="2:4" s="72" customFormat="1" ht="20.25" customHeight="1" x14ac:dyDescent="0.2">
      <c r="B11" s="73">
        <v>6</v>
      </c>
      <c r="C11" s="76" t="s">
        <v>59</v>
      </c>
      <c r="D11" s="74">
        <f t="shared" si="0"/>
        <v>0</v>
      </c>
    </row>
    <row r="12" spans="2:4" s="72" customFormat="1" ht="20.25" customHeight="1" x14ac:dyDescent="0.2">
      <c r="B12" s="73">
        <v>7</v>
      </c>
      <c r="C12" s="76" t="s">
        <v>55</v>
      </c>
      <c r="D12" s="75">
        <f t="shared" si="0"/>
        <v>0</v>
      </c>
    </row>
    <row r="13" spans="2:4" s="72" customFormat="1" ht="20.25" customHeight="1" x14ac:dyDescent="0.2">
      <c r="B13" s="73">
        <v>8</v>
      </c>
      <c r="C13" s="76" t="s">
        <v>17</v>
      </c>
      <c r="D13" s="75">
        <f t="shared" si="0"/>
        <v>2900</v>
      </c>
    </row>
    <row r="14" spans="2:4" s="72" customFormat="1" ht="20.25" customHeight="1" x14ac:dyDescent="0.2">
      <c r="B14" s="73">
        <v>9</v>
      </c>
      <c r="C14" s="76" t="s">
        <v>60</v>
      </c>
      <c r="D14" s="74">
        <f t="shared" si="0"/>
        <v>1</v>
      </c>
    </row>
    <row r="15" spans="2:4" s="72" customFormat="1" ht="20.25" customHeight="1" x14ac:dyDescent="0.2">
      <c r="B15" s="73">
        <v>10</v>
      </c>
      <c r="C15" s="76" t="s">
        <v>61</v>
      </c>
      <c r="D15" s="75">
        <f t="shared" si="0"/>
        <v>435</v>
      </c>
    </row>
    <row r="16" spans="2:4" s="72" customFormat="1" ht="20.25" customHeight="1" x14ac:dyDescent="0.2">
      <c r="B16" s="73">
        <v>11</v>
      </c>
      <c r="C16" s="76" t="s">
        <v>62</v>
      </c>
      <c r="D16" s="74">
        <f t="shared" si="0"/>
        <v>4</v>
      </c>
    </row>
    <row r="17" spans="2:4" s="72" customFormat="1" ht="20.25" customHeight="1" x14ac:dyDescent="0.2">
      <c r="B17" s="73">
        <v>12</v>
      </c>
      <c r="C17" s="76" t="s">
        <v>54</v>
      </c>
      <c r="D17" s="75">
        <f t="shared" si="0"/>
        <v>1160</v>
      </c>
    </row>
    <row r="18" spans="2:4" s="72" customFormat="1" ht="20.25" customHeight="1" x14ac:dyDescent="0.2">
      <c r="B18" s="73">
        <v>13</v>
      </c>
      <c r="C18" s="76" t="s">
        <v>49</v>
      </c>
      <c r="D18" s="75">
        <f t="shared" si="0"/>
        <v>0</v>
      </c>
    </row>
    <row r="19" spans="2:4" s="72" customFormat="1" ht="20.25" customHeight="1" x14ac:dyDescent="0.2">
      <c r="B19" s="73">
        <v>14</v>
      </c>
      <c r="C19" s="76" t="s">
        <v>48</v>
      </c>
      <c r="D19" s="75">
        <f t="shared" si="0"/>
        <v>0</v>
      </c>
    </row>
    <row r="20" spans="2:4" s="72" customFormat="1" ht="20.25" customHeight="1" x14ac:dyDescent="0.2">
      <c r="B20" s="73">
        <v>15</v>
      </c>
      <c r="C20" s="76" t="s">
        <v>4</v>
      </c>
      <c r="D20" s="75">
        <f t="shared" si="0"/>
        <v>1160</v>
      </c>
    </row>
    <row r="21" spans="2:4" s="72" customFormat="1" ht="20.25" customHeight="1" x14ac:dyDescent="0.2">
      <c r="B21" s="73">
        <v>16</v>
      </c>
      <c r="C21" s="76" t="s">
        <v>5</v>
      </c>
      <c r="D21" s="78">
        <f t="shared" si="0"/>
        <v>2175</v>
      </c>
    </row>
    <row r="22" spans="2:4" s="72" customFormat="1" ht="20.25" customHeight="1" x14ac:dyDescent="0.2">
      <c r="B22" s="73">
        <v>17</v>
      </c>
      <c r="C22" s="76" t="s">
        <v>6</v>
      </c>
      <c r="D22" s="77" t="str">
        <f>IF(D$3="","",VLOOKUP($D$3,'TABLA GENERAL'!$B$20:$R$40,B22,0))</f>
        <v>Contratado</v>
      </c>
    </row>
  </sheetData>
  <conditionalFormatting sqref="D22">
    <cfRule type="containsText" dxfId="2" priority="1" operator="containsText" text="Contratado">
      <formula>NOT(ISERROR(SEARCH("Contratado",D22)))</formula>
    </cfRule>
    <cfRule type="containsText" dxfId="1" priority="2" operator="containsText" text="Estable">
      <formula>NOT(ISERROR(SEARCH("Estable",D22)))</formula>
    </cfRule>
    <cfRule type="containsText" dxfId="0" priority="3" operator="containsText" text="Eventual">
      <formula>NOT(ISERROR(SEARCH("Eventual",D22)))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DATO INVALIDO" error="Por favor seleccione el dato que se encuentra al desplegar la lista." promptTitle="BUSQUEDA DE REPORTE ESPECIAL" prompt="Elija una de las opciones para obtener el reporte del empleado que requiere conocer" xr:uid="{A0996096-4FDC-483F-A0DE-C992A40C0290}">
          <x14:formula1>
            <xm:f>'TABLA GENERAL'!$B$21:$B$40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PRINCIPAL</vt:lpstr>
      <vt:lpstr>TABLA GENERAL</vt:lpstr>
      <vt:lpstr>ESTADISTICA 1</vt:lpstr>
      <vt:lpstr>REPORTE GENERAL</vt:lpstr>
      <vt:lpstr>Reporte</vt:lpstr>
      <vt:lpstr>'TABLA GENERAL'!Criterios</vt:lpstr>
      <vt:lpstr>DATOS</vt:lpstr>
      <vt:lpstr>DATOS_EMPLEADOS</vt:lpstr>
    </vt:vector>
  </TitlesOfParts>
  <Company>Investintech.com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A2E_Engine</dc:creator>
  <cp:lastModifiedBy>user</cp:lastModifiedBy>
  <dcterms:created xsi:type="dcterms:W3CDTF">2023-05-07T20:17:32Z</dcterms:created>
  <dcterms:modified xsi:type="dcterms:W3CDTF">2023-06-20T07:47:59Z</dcterms:modified>
</cp:coreProperties>
</file>