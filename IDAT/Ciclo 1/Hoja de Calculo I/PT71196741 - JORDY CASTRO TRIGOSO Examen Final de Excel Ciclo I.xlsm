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slicers/slicer1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Jord\Idat\Hoja de Calculo I\"/>
    </mc:Choice>
  </mc:AlternateContent>
  <xr:revisionPtr revIDLastSave="0" documentId="13_ncr:1_{F53DF09A-CCA2-4034-90E9-94A14B455A81}" xr6:coauthVersionLast="37" xr6:coauthVersionMax="37" xr10:uidLastSave="{00000000-0000-0000-0000-000000000000}"/>
  <bookViews>
    <workbookView xWindow="0" yWindow="0" windowWidth="16410" windowHeight="7545" xr2:uid="{883C5501-7B7A-4824-A644-915DE2B2C7A5}"/>
  </bookViews>
  <sheets>
    <sheet name="FORMULARIO" sheetId="1" r:id="rId1"/>
    <sheet name="EXTENSION" sheetId="6" state="hidden" r:id="rId2"/>
    <sheet name="FILTROS AVANZADOS" sheetId="2" r:id="rId3"/>
    <sheet name="Hoja7" sheetId="7" state="hidden" r:id="rId4"/>
    <sheet name="REPORTE ESTADISTICO" sheetId="4" r:id="rId5"/>
    <sheet name="CONSULTAS" sheetId="5" r:id="rId6"/>
    <sheet name="TABLA DINAMICA" sheetId="10" r:id="rId7"/>
  </sheets>
  <definedNames>
    <definedName name="_xlnm._FilterDatabase" localSheetId="2" hidden="1">'FILTROS AVANZADOS'!$B$5:$K$35</definedName>
    <definedName name="_xlnm.Print_Area" localSheetId="5">CONSULTAS!$A$4:$D$14</definedName>
    <definedName name="BASE_DE_DATOS">#REF!</definedName>
    <definedName name="_xlnm.Criteria" localSheetId="2">'FILTROS AVANZADOS'!$B$2:$K$3</definedName>
    <definedName name="SegmentaciónDeDatos_AREA">#N/A</definedName>
    <definedName name="SegmentaciónDeDatos_FECHA_DE_INSTALACION">#N/A</definedName>
    <definedName name="SegmentaciónDeDatos_OBSERVACION">#N/A</definedName>
    <definedName name="SegmentaciónDeDatos_TIPO_DE_FIRMA">#N/A</definedName>
  </definedNames>
  <calcPr calcId="179021"/>
  <pivotCaches>
    <pivotCache cacheId="9" r:id="rId8"/>
  </pivotCaches>
  <extLst>
    <ext xmlns:x14="http://schemas.microsoft.com/office/spreadsheetml/2009/9/main" uri="{BBE1A952-AA13-448e-AADC-164F8A28A991}">
      <x14:slicerCaches>
        <x14:slicerCache r:id="rId9"/>
        <x14:slicerCache r:id="rId10"/>
        <x14:slicerCache r:id="rId11"/>
        <x14:slicerCache r:id="rId12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" i="4" l="1"/>
  <c r="D9" i="4" s="1"/>
  <c r="C4" i="4"/>
  <c r="D4" i="4" s="1"/>
  <c r="G4" i="4"/>
  <c r="G7" i="4"/>
  <c r="G6" i="4"/>
  <c r="G5" i="4"/>
  <c r="C5" i="4"/>
  <c r="D5" i="4" s="1"/>
  <c r="C6" i="4"/>
  <c r="D6" i="4" s="1"/>
  <c r="C7" i="4"/>
  <c r="D7" i="4" s="1"/>
  <c r="C8" i="4"/>
  <c r="D8" i="4" s="1"/>
  <c r="B35" i="2"/>
  <c r="B34" i="2"/>
  <c r="D3" i="7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2" i="7"/>
  <c r="C11" i="5" l="1"/>
  <c r="C12" i="5"/>
  <c r="C8" i="5"/>
  <c r="C7" i="5"/>
  <c r="C10" i="5"/>
  <c r="C9" i="5"/>
</calcChain>
</file>

<file path=xl/sharedStrings.xml><?xml version="1.0" encoding="utf-8"?>
<sst xmlns="http://schemas.openxmlformats.org/spreadsheetml/2006/main" count="453" uniqueCount="167">
  <si>
    <t>AREA</t>
  </si>
  <si>
    <t>APELLIDOS</t>
  </si>
  <si>
    <t>NOMBRES</t>
  </si>
  <si>
    <t>USUARIOS(A)</t>
  </si>
  <si>
    <t>TIPO DE FIRMA</t>
  </si>
  <si>
    <t>FECHA DE INSTALACION</t>
  </si>
  <si>
    <t>FECHA DE EXPIRACION</t>
  </si>
  <si>
    <t>OBSERVACION</t>
  </si>
  <si>
    <t>PIN</t>
  </si>
  <si>
    <t>FORMULARIO DE CERTIFICADOS DIGITALES</t>
  </si>
  <si>
    <t>FINANCIERA</t>
  </si>
  <si>
    <t>JURIDICA</t>
  </si>
  <si>
    <t>IMAGEN</t>
  </si>
  <si>
    <t>OTI</t>
  </si>
  <si>
    <t>PRESUPUESTO</t>
  </si>
  <si>
    <t>INTEGRIDAD</t>
  </si>
  <si>
    <t>CUADRO INTERACTIVO</t>
  </si>
  <si>
    <t>Nuevo Certificado</t>
  </si>
  <si>
    <t>Renovación de certificado</t>
  </si>
  <si>
    <t>Castro</t>
  </si>
  <si>
    <t xml:space="preserve">Fallado de Instalación </t>
  </si>
  <si>
    <t>CLAVE</t>
  </si>
  <si>
    <t>Definido por el usuario</t>
  </si>
  <si>
    <t>HERRERA</t>
  </si>
  <si>
    <t>Instalado</t>
  </si>
  <si>
    <t>USUARIO(A)</t>
  </si>
  <si>
    <t>Definido por el Usuario</t>
  </si>
  <si>
    <t>GARCIA</t>
  </si>
  <si>
    <t>RODRIGUEZ</t>
  </si>
  <si>
    <t>GONZALEZ</t>
  </si>
  <si>
    <t>FERNANDEZ</t>
  </si>
  <si>
    <t>LOPEZ</t>
  </si>
  <si>
    <t>MARTINEZ</t>
  </si>
  <si>
    <t>SANCHEZ</t>
  </si>
  <si>
    <t>PEREZ</t>
  </si>
  <si>
    <t>GOMEZ</t>
  </si>
  <si>
    <t>MARTIN</t>
  </si>
  <si>
    <t>JIMENEZ</t>
  </si>
  <si>
    <t>HERNANDEZ</t>
  </si>
  <si>
    <t>RUIZ</t>
  </si>
  <si>
    <t>DIAZ</t>
  </si>
  <si>
    <t>MORENO</t>
  </si>
  <si>
    <t>MUÑOZ</t>
  </si>
  <si>
    <t>ALVAREZ</t>
  </si>
  <si>
    <t>ROMERO</t>
  </si>
  <si>
    <t>GUTIERREZ</t>
  </si>
  <si>
    <t>ALONSO</t>
  </si>
  <si>
    <t>NAVARRO</t>
  </si>
  <si>
    <t>TORRES</t>
  </si>
  <si>
    <t>DOMINGUEZ</t>
  </si>
  <si>
    <t>RAMOS</t>
  </si>
  <si>
    <t>VAZQUEZ</t>
  </si>
  <si>
    <t>RAMIREZ</t>
  </si>
  <si>
    <t>GIL</t>
  </si>
  <si>
    <t>SERRANO</t>
  </si>
  <si>
    <t>MORALES</t>
  </si>
  <si>
    <t>MOLINA</t>
  </si>
  <si>
    <t>BLANCO</t>
  </si>
  <si>
    <t>SUAREZ</t>
  </si>
  <si>
    <t>CASTRO</t>
  </si>
  <si>
    <t>ORTEGA</t>
  </si>
  <si>
    <t>DELGADO</t>
  </si>
  <si>
    <t>ORTIZ</t>
  </si>
  <si>
    <t>MARIN</t>
  </si>
  <si>
    <t>RUBIO</t>
  </si>
  <si>
    <t>NUÑEZ</t>
  </si>
  <si>
    <t>MEDINA</t>
  </si>
  <si>
    <t>SANZ</t>
  </si>
  <si>
    <t>CASTILLO</t>
  </si>
  <si>
    <t>IGLESIAS</t>
  </si>
  <si>
    <t>CORTES</t>
  </si>
  <si>
    <t>GARRIDO</t>
  </si>
  <si>
    <t>SANTOS</t>
  </si>
  <si>
    <t>GUERRERO</t>
  </si>
  <si>
    <t>LOZANO</t>
  </si>
  <si>
    <t>CANO</t>
  </si>
  <si>
    <t>CRUZ</t>
  </si>
  <si>
    <t>MENDEZ</t>
  </si>
  <si>
    <t>FLORES</t>
  </si>
  <si>
    <t>PRIETO</t>
  </si>
  <si>
    <t>PEÑA</t>
  </si>
  <si>
    <t>LEON</t>
  </si>
  <si>
    <t>MARQUEZ</t>
  </si>
  <si>
    <t>CABRERA</t>
  </si>
  <si>
    <t>GALLEGO</t>
  </si>
  <si>
    <t>CALVO</t>
  </si>
  <si>
    <t>Garcia Blanco</t>
  </si>
  <si>
    <t>Rodriguez Suarez</t>
  </si>
  <si>
    <t>Gonzalez Castro</t>
  </si>
  <si>
    <t>Fernandez Ortega</t>
  </si>
  <si>
    <t>Lopez Delgado</t>
  </si>
  <si>
    <t>Martinez Ortiz</t>
  </si>
  <si>
    <t>Sanchez Marin</t>
  </si>
  <si>
    <t>Suzan</t>
  </si>
  <si>
    <t>Mateo</t>
  </si>
  <si>
    <t>Luis</t>
  </si>
  <si>
    <t>Rodrigo</t>
  </si>
  <si>
    <t>Emanuel</t>
  </si>
  <si>
    <t>Roberto</t>
  </si>
  <si>
    <t>Ruben</t>
  </si>
  <si>
    <t>Andres</t>
  </si>
  <si>
    <t>OGA_SUZAN</t>
  </si>
  <si>
    <t>PRO_RODRIGO</t>
  </si>
  <si>
    <t>IGO_MATEO</t>
  </si>
  <si>
    <t>FFE_LUIS</t>
  </si>
  <si>
    <t>JLO_EMANUEL</t>
  </si>
  <si>
    <t>IMA_ROBERTO</t>
  </si>
  <si>
    <t>FSA_RUBEN</t>
  </si>
  <si>
    <t>OGA_RODRIGO</t>
  </si>
  <si>
    <t>PRO_MATEO</t>
  </si>
  <si>
    <t>IGO_LUIS</t>
  </si>
  <si>
    <t>FFE_SUZAN</t>
  </si>
  <si>
    <t>JLO_RODRIGO</t>
  </si>
  <si>
    <t>JMA_MATEO</t>
  </si>
  <si>
    <t>ISA_LUIS</t>
  </si>
  <si>
    <t>FGA_EMANUEL</t>
  </si>
  <si>
    <t>PRO_ROBERTO</t>
  </si>
  <si>
    <t>PGO_RUBEN</t>
  </si>
  <si>
    <t>FFE_RODRIGO</t>
  </si>
  <si>
    <t>JLO_MATEO</t>
  </si>
  <si>
    <t>IMA_LUIS</t>
  </si>
  <si>
    <t>FSA_ANDRES</t>
  </si>
  <si>
    <t>USUARIO</t>
  </si>
  <si>
    <t>Jimena</t>
  </si>
  <si>
    <t>Raul</t>
  </si>
  <si>
    <t>Homer</t>
  </si>
  <si>
    <t>Martin</t>
  </si>
  <si>
    <t>Laura</t>
  </si>
  <si>
    <t>Lidia</t>
  </si>
  <si>
    <t>Paola</t>
  </si>
  <si>
    <t>Bertha</t>
  </si>
  <si>
    <t>TOTALES</t>
  </si>
  <si>
    <t>Certificados Instalados.</t>
  </si>
  <si>
    <t>RESUMEN</t>
  </si>
  <si>
    <t>ESTADISTICA EN BARRA</t>
  </si>
  <si>
    <t>Usuarios</t>
  </si>
  <si>
    <t>Rossybel</t>
  </si>
  <si>
    <t>Quijano</t>
  </si>
  <si>
    <t>OGA_LIDIA</t>
  </si>
  <si>
    <t>IMA_MARTIN</t>
  </si>
  <si>
    <t>ORO_PAOLA</t>
  </si>
  <si>
    <t>PGO_BERTHA</t>
  </si>
  <si>
    <t>FFE_RAUL</t>
  </si>
  <si>
    <t>Ortiz</t>
  </si>
  <si>
    <t>Frufru</t>
  </si>
  <si>
    <t>OOR_FRUFRU</t>
  </si>
  <si>
    <t>Bazalarte</t>
  </si>
  <si>
    <t>Rigoberto</t>
  </si>
  <si>
    <t>IMB_RIGOBERTO</t>
  </si>
  <si>
    <t>Caceres</t>
  </si>
  <si>
    <t>Albino</t>
  </si>
  <si>
    <t>ICA_ALBINO</t>
  </si>
  <si>
    <t>Taricuarima</t>
  </si>
  <si>
    <t>FRO_PANCRASIA</t>
  </si>
  <si>
    <t>Clorinda</t>
  </si>
  <si>
    <t>JCL_PANFILA</t>
  </si>
  <si>
    <t>JLO_HOMER</t>
  </si>
  <si>
    <t>OSA_LAURA</t>
  </si>
  <si>
    <t>PGO_JIMENA</t>
  </si>
  <si>
    <t>Total general</t>
  </si>
  <si>
    <t>Jun</t>
  </si>
  <si>
    <t>Jul</t>
  </si>
  <si>
    <t>Aug</t>
  </si>
  <si>
    <t>Cuenta de USUARIOS(A)</t>
  </si>
  <si>
    <t>Shanirsito</t>
  </si>
  <si>
    <t>EIDAN_1508</t>
  </si>
  <si>
    <t>Meses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</si>
</sst>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"/>
  </numFmts>
  <fonts count="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5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5" tint="-0.499984740745262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/>
    <xf numFmtId="0" fontId="0" fillId="0" borderId="0" xfId="0" applyAlignment="1">
      <alignment wrapText="1"/>
    </xf>
    <xf numFmtId="0" fontId="2" fillId="0" borderId="0" xfId="0" applyFont="1"/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/>
    <xf numFmtId="0" fontId="1" fillId="3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left" vertical="center"/>
    </xf>
    <xf numFmtId="0" fontId="3" fillId="0" borderId="0" xfId="0" applyFont="1" applyAlignment="1">
      <alignment horizontal="center"/>
    </xf>
    <xf numFmtId="0" fontId="3" fillId="0" borderId="0" xfId="0" applyFont="1"/>
    <xf numFmtId="0" fontId="3" fillId="0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left"/>
    </xf>
    <xf numFmtId="14" fontId="0" fillId="0" borderId="0" xfId="0" applyNumberFormat="1" applyAlignment="1">
      <alignment horizontal="center"/>
    </xf>
    <xf numFmtId="164" fontId="3" fillId="0" borderId="0" xfId="0" applyNumberFormat="1" applyFont="1" applyAlignment="1">
      <alignment horizontal="center"/>
    </xf>
    <xf numFmtId="0" fontId="4" fillId="0" borderId="0" xfId="0" applyFont="1"/>
    <xf numFmtId="0" fontId="1" fillId="4" borderId="0" xfId="0" applyFont="1" applyFill="1" applyAlignment="1"/>
    <xf numFmtId="164" fontId="0" fillId="0" borderId="0" xfId="0" applyNumberFormat="1"/>
    <xf numFmtId="0" fontId="1" fillId="0" borderId="0" xfId="0" applyFont="1"/>
    <xf numFmtId="164" fontId="0" fillId="0" borderId="0" xfId="0" applyNumberFormat="1" applyAlignment="1">
      <alignment horizontal="center" vertical="center"/>
    </xf>
    <xf numFmtId="0" fontId="0" fillId="0" borderId="0" xfId="0" pivotButton="1"/>
    <xf numFmtId="0" fontId="0" fillId="0" borderId="0" xfId="0" applyNumberFormat="1"/>
    <xf numFmtId="0" fontId="5" fillId="2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7/relationships/slicerCache" Target="slicerCaches/slicerCache4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microsoft.com/office/2007/relationships/slicerCache" Target="slicerCaches/slicerCache2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32640084602857566"/>
          <c:y val="0.31941607754556556"/>
          <c:w val="0.51658190828913975"/>
          <c:h val="0.60887505688720001"/>
        </c:manualLayout>
      </c:layout>
      <c:pie3DChart>
        <c:varyColors val="1"/>
        <c:ser>
          <c:idx val="0"/>
          <c:order val="0"/>
          <c:tx>
            <c:strRef>
              <c:f>'REPORTE ESTADISTICO'!$C$3</c:f>
              <c:strCache>
                <c:ptCount val="1"/>
                <c:pt idx="0">
                  <c:v>TOTALES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BCFE-4C94-A49A-32A1C06DB44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BCFE-4C94-A49A-32A1C06DB446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BCFE-4C94-A49A-32A1C06DB446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BCFE-4C94-A49A-32A1C06DB446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BCFE-4C94-A49A-32A1C06DB446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B-BCFE-4C94-A49A-32A1C06DB446}"/>
              </c:ext>
            </c:extLst>
          </c:dPt>
          <c:dLbls>
            <c:spPr>
              <a:solidFill>
                <a:sysClr val="window" lastClr="FFFFFF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'REPORTE ESTADISTICO'!$B$4:$B$9</c:f>
              <c:strCache>
                <c:ptCount val="6"/>
                <c:pt idx="0">
                  <c:v>OTI</c:v>
                </c:pt>
                <c:pt idx="1">
                  <c:v>PRESUPUESTO</c:v>
                </c:pt>
                <c:pt idx="2">
                  <c:v>INTEGRIDAD</c:v>
                </c:pt>
                <c:pt idx="3">
                  <c:v>FINANCIERA</c:v>
                </c:pt>
                <c:pt idx="4">
                  <c:v>JURIDICA</c:v>
                </c:pt>
                <c:pt idx="5">
                  <c:v>IMAGEN</c:v>
                </c:pt>
              </c:strCache>
            </c:strRef>
          </c:cat>
          <c:val>
            <c:numRef>
              <c:f>'REPORTE ESTADISTICO'!$C$4:$C$9</c:f>
              <c:numCache>
                <c:formatCode>General</c:formatCode>
                <c:ptCount val="6"/>
                <c:pt idx="0">
                  <c:v>3</c:v>
                </c:pt>
                <c:pt idx="1">
                  <c:v>6</c:v>
                </c:pt>
                <c:pt idx="2">
                  <c:v>3</c:v>
                </c:pt>
                <c:pt idx="3">
                  <c:v>8</c:v>
                </c:pt>
                <c:pt idx="4">
                  <c:v>5</c:v>
                </c:pt>
                <c:pt idx="5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3E-4D4E-9C1F-C04A9740C9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2.6334713017538949E-2"/>
          <c:y val="8.8522231145851921E-2"/>
          <c:w val="0.22205302638136901"/>
          <c:h val="0.435149042773539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cap="all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solidFill>
          <a:schemeClr val="bg2">
            <a:lumMod val="75000"/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'REPORTE ESTADISTICO'!$G$3</c:f>
              <c:strCache>
                <c:ptCount val="1"/>
                <c:pt idx="0">
                  <c:v>TOTALES</c:v>
                </c:pt>
              </c:strCache>
            </c:strRef>
          </c:tx>
          <c:spPr>
            <a:solidFill>
              <a:schemeClr val="accent1">
                <a:alpha val="88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1">
                  <a:lumMod val="50000"/>
                </a:schemeClr>
              </a:contourClr>
            </a:sp3d>
          </c:spPr>
          <c:invertIfNegative val="0"/>
          <c:dLbls>
            <c:spPr>
              <a:solidFill>
                <a:schemeClr val="accent1"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'REPORTE ESTADISTICO'!$F$4:$F$7</c:f>
              <c:strCache>
                <c:ptCount val="4"/>
                <c:pt idx="0">
                  <c:v>Usuarios</c:v>
                </c:pt>
                <c:pt idx="1">
                  <c:v>Renovación de certificado</c:v>
                </c:pt>
                <c:pt idx="2">
                  <c:v>Nuevo Certificado</c:v>
                </c:pt>
                <c:pt idx="3">
                  <c:v>Certificados Instalados.</c:v>
                </c:pt>
              </c:strCache>
            </c:strRef>
          </c:cat>
          <c:val>
            <c:numRef>
              <c:f>'REPORTE ESTADISTICO'!$G$4:$G$7</c:f>
              <c:numCache>
                <c:formatCode>General</c:formatCode>
                <c:ptCount val="4"/>
                <c:pt idx="0">
                  <c:v>22</c:v>
                </c:pt>
                <c:pt idx="1">
                  <c:v>13</c:v>
                </c:pt>
                <c:pt idx="2">
                  <c:v>17</c:v>
                </c:pt>
                <c:pt idx="3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03-477B-B1E5-5618A894D69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4"/>
        <c:gapDepth val="53"/>
        <c:shape val="box"/>
        <c:axId val="1085351567"/>
        <c:axId val="1090069663"/>
        <c:axId val="0"/>
      </c:bar3DChart>
      <c:catAx>
        <c:axId val="10853515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90069663"/>
        <c:crosses val="autoZero"/>
        <c:auto val="1"/>
        <c:lblAlgn val="ctr"/>
        <c:lblOffset val="100"/>
        <c:noMultiLvlLbl val="0"/>
      </c:catAx>
      <c:valAx>
        <c:axId val="1090069663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0853515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6350" cap="flat" cmpd="sng" algn="ctr">
      <a:solidFill>
        <a:schemeClr val="dk1">
          <a:tint val="7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91">
  <cs:axisTitle>
    <cs:lnRef idx="0"/>
    <cs:fillRef idx="0"/>
    <cs:effectRef idx="0"/>
    <cs:fontRef idx="minor">
      <a:schemeClr val="lt1">
        <a:lumMod val="7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6350" cap="flat" cmpd="sng" algn="ctr">
        <a:solidFill>
          <a:schemeClr val="dk1">
            <a:tint val="75000"/>
          </a:schemeClr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</cs:dataLabel>
  <cs:dataLabelCallout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  <a:scene3d>
        <a:camera prst="orthographicFront"/>
        <a:lightRig rig="threePt" dir="t"/>
      </a:scene3d>
      <a:sp3d prstMaterial="flat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dk1">
            <a:lumMod val="75000"/>
            <a:lumOff val="2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bg2">
          <a:lumMod val="75000"/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>
        <a:solidFill>
          <a:schemeClr val="lt1">
            <a:lumMod val="50000"/>
          </a:schemeClr>
        </a:solidFill>
      </a:ln>
    </cs:spPr>
  </cs:gridlineMajor>
  <cs:gridlineMinor>
    <cs:lnRef idx="0"/>
    <cs:fillRef idx="0"/>
    <cs:effectRef idx="0"/>
    <cs:fontRef idx="minor">
      <a:schemeClr val="tx1"/>
    </cs:fontRef>
    <cs:spPr>
      <a:ln w="9525">
        <a:solidFill>
          <a:schemeClr val="lt1">
            <a:lumMod val="4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/>
    </cs:fontRef>
    <cs:defRPr sz="1800" b="0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CONSULTAS!A1"/><Relationship Id="rId2" Type="http://schemas.openxmlformats.org/officeDocument/2006/relationships/hyperlink" Target="#'REPORTE ESTADISTICO'!A1"/><Relationship Id="rId1" Type="http://schemas.openxmlformats.org/officeDocument/2006/relationships/hyperlink" Target="#'FILTROS AVANZADOS'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FORMULARIO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hyperlink" Target="#FORMULARIO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FORMULARIO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54666</xdr:colOff>
      <xdr:row>10</xdr:row>
      <xdr:rowOff>9525</xdr:rowOff>
    </xdr:from>
    <xdr:to>
      <xdr:col>6</xdr:col>
      <xdr:colOff>29818</xdr:colOff>
      <xdr:row>11</xdr:row>
      <xdr:rowOff>28575</xdr:rowOff>
    </xdr:to>
    <xdr:sp macro="[0]!GUARDAR_LIMPIAR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199EE36-8852-404F-B489-9D6DC8DB74B4}"/>
            </a:ext>
          </a:extLst>
        </xdr:cNvPr>
        <xdr:cNvSpPr/>
      </xdr:nvSpPr>
      <xdr:spPr>
        <a:xfrm>
          <a:off x="4726057" y="1111112"/>
          <a:ext cx="1888435" cy="209550"/>
        </a:xfrm>
        <a:prstGeom prst="roundRect">
          <a:avLst/>
        </a:prstGeom>
        <a:solidFill>
          <a:schemeClr val="accent2">
            <a:lumMod val="75000"/>
          </a:schemeClr>
        </a:solidFill>
        <a:ln>
          <a:solidFill>
            <a:schemeClr val="accent2">
              <a:lumMod val="50000"/>
            </a:schemeClr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>
              <a:solidFill>
                <a:schemeClr val="bg1"/>
              </a:solidFill>
            </a:rPr>
            <a:t>Guardar</a:t>
          </a:r>
          <a:r>
            <a:rPr lang="es-ES" sz="1100" baseline="0">
              <a:solidFill>
                <a:schemeClr val="bg1"/>
              </a:solidFill>
            </a:rPr>
            <a:t> y Limpiar</a:t>
          </a:r>
          <a:endParaRPr lang="es-ES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662462</xdr:colOff>
      <xdr:row>8</xdr:row>
      <xdr:rowOff>189737</xdr:rowOff>
    </xdr:from>
    <xdr:to>
      <xdr:col>3</xdr:col>
      <xdr:colOff>125700</xdr:colOff>
      <xdr:row>19</xdr:row>
      <xdr:rowOff>48867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E002F5B-3FED-48E2-AE40-114DDA11F303}"/>
            </a:ext>
          </a:extLst>
        </xdr:cNvPr>
        <xdr:cNvSpPr/>
      </xdr:nvSpPr>
      <xdr:spPr>
        <a:xfrm>
          <a:off x="1424462" y="926889"/>
          <a:ext cx="3770195" cy="1913217"/>
        </a:xfrm>
        <a:prstGeom prst="roundRect">
          <a:avLst>
            <a:gd name="adj" fmla="val 3956"/>
          </a:avLst>
        </a:prstGeom>
        <a:noFill/>
        <a:ln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4</xdr:col>
      <xdr:colOff>54666</xdr:colOff>
      <xdr:row>12</xdr:row>
      <xdr:rowOff>4555</xdr:rowOff>
    </xdr:from>
    <xdr:to>
      <xdr:col>6</xdr:col>
      <xdr:colOff>29818</xdr:colOff>
      <xdr:row>13</xdr:row>
      <xdr:rowOff>23605</xdr:rowOff>
    </xdr:to>
    <xdr:sp macro="" textlink="">
      <xdr:nvSpPr>
        <xdr:cNvPr id="6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5430F6A-216A-4E54-8583-DD8B2A82FB93}"/>
            </a:ext>
          </a:extLst>
        </xdr:cNvPr>
        <xdr:cNvSpPr/>
      </xdr:nvSpPr>
      <xdr:spPr>
        <a:xfrm>
          <a:off x="4726057" y="1487142"/>
          <a:ext cx="1888435" cy="209550"/>
        </a:xfrm>
        <a:prstGeom prst="roundRect">
          <a:avLst/>
        </a:prstGeom>
        <a:solidFill>
          <a:schemeClr val="accent2">
            <a:lumMod val="75000"/>
          </a:schemeClr>
        </a:solidFill>
        <a:ln>
          <a:solidFill>
            <a:schemeClr val="accent2">
              <a:lumMod val="50000"/>
            </a:schemeClr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>
              <a:solidFill>
                <a:schemeClr val="bg1"/>
              </a:solidFill>
            </a:rPr>
            <a:t>Ir a Base de Datos</a:t>
          </a:r>
        </a:p>
      </xdr:txBody>
    </xdr:sp>
    <xdr:clientData/>
  </xdr:twoCellAnchor>
  <xdr:twoCellAnchor>
    <xdr:from>
      <xdr:col>4</xdr:col>
      <xdr:colOff>54666</xdr:colOff>
      <xdr:row>14</xdr:row>
      <xdr:rowOff>16151</xdr:rowOff>
    </xdr:from>
    <xdr:to>
      <xdr:col>6</xdr:col>
      <xdr:colOff>29818</xdr:colOff>
      <xdr:row>15</xdr:row>
      <xdr:rowOff>35201</xdr:rowOff>
    </xdr:to>
    <xdr:sp macro="" textlink="">
      <xdr:nvSpPr>
        <xdr:cNvPr id="7" name="Rectángulo: esquinas redondeadas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B1A43DA-4894-4B91-8DD1-757F96300B70}"/>
            </a:ext>
          </a:extLst>
        </xdr:cNvPr>
        <xdr:cNvSpPr/>
      </xdr:nvSpPr>
      <xdr:spPr>
        <a:xfrm>
          <a:off x="4726057" y="1879738"/>
          <a:ext cx="1888435" cy="209550"/>
        </a:xfrm>
        <a:prstGeom prst="roundRect">
          <a:avLst/>
        </a:prstGeom>
        <a:solidFill>
          <a:schemeClr val="accent2">
            <a:lumMod val="75000"/>
          </a:schemeClr>
        </a:solidFill>
        <a:ln>
          <a:solidFill>
            <a:schemeClr val="accent2">
              <a:lumMod val="50000"/>
            </a:schemeClr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>
              <a:solidFill>
                <a:schemeClr val="bg1"/>
              </a:solidFill>
            </a:rPr>
            <a:t>Reporte Estadistico</a:t>
          </a:r>
        </a:p>
      </xdr:txBody>
    </xdr:sp>
    <xdr:clientData/>
  </xdr:twoCellAnchor>
  <xdr:twoCellAnchor>
    <xdr:from>
      <xdr:col>4</xdr:col>
      <xdr:colOff>54666</xdr:colOff>
      <xdr:row>16</xdr:row>
      <xdr:rowOff>2899</xdr:rowOff>
    </xdr:from>
    <xdr:to>
      <xdr:col>6</xdr:col>
      <xdr:colOff>29818</xdr:colOff>
      <xdr:row>17</xdr:row>
      <xdr:rowOff>21949</xdr:rowOff>
    </xdr:to>
    <xdr:sp macro="" textlink="">
      <xdr:nvSpPr>
        <xdr:cNvPr id="8" name="Rectángulo: esquinas redondeadas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894D6CC-48EE-4D59-8764-84D0ACBE8E92}"/>
            </a:ext>
          </a:extLst>
        </xdr:cNvPr>
        <xdr:cNvSpPr/>
      </xdr:nvSpPr>
      <xdr:spPr>
        <a:xfrm>
          <a:off x="4726057" y="2247486"/>
          <a:ext cx="1888435" cy="209550"/>
        </a:xfrm>
        <a:prstGeom prst="roundRect">
          <a:avLst/>
        </a:prstGeom>
        <a:solidFill>
          <a:schemeClr val="accent2">
            <a:lumMod val="75000"/>
          </a:schemeClr>
        </a:solidFill>
        <a:ln>
          <a:solidFill>
            <a:schemeClr val="accent2">
              <a:lumMod val="50000"/>
            </a:schemeClr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>
              <a:solidFill>
                <a:schemeClr val="bg1"/>
              </a:solidFill>
            </a:rPr>
            <a:t>Consultas</a:t>
          </a:r>
        </a:p>
      </xdr:txBody>
    </xdr:sp>
    <xdr:clientData/>
  </xdr:twoCellAnchor>
  <xdr:twoCellAnchor editAs="oneCell">
    <xdr:from>
      <xdr:col>1</xdr:col>
      <xdr:colOff>24848</xdr:colOff>
      <xdr:row>0</xdr:row>
      <xdr:rowOff>149087</xdr:rowOff>
    </xdr:from>
    <xdr:to>
      <xdr:col>2</xdr:col>
      <xdr:colOff>1774963</xdr:colOff>
      <xdr:row>5</xdr:row>
      <xdr:rowOff>149087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C68EC4AD-69AD-4289-9973-F5D95374DA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6848" y="149087"/>
          <a:ext cx="3257550" cy="952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742950</xdr:colOff>
      <xdr:row>0</xdr:row>
      <xdr:rowOff>171450</xdr:rowOff>
    </xdr:from>
    <xdr:to>
      <xdr:col>3</xdr:col>
      <xdr:colOff>469210</xdr:colOff>
      <xdr:row>0</xdr:row>
      <xdr:rowOff>381000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DD6E9CE-8D88-4CAB-B06F-C0D2D1106A50}"/>
            </a:ext>
          </a:extLst>
        </xdr:cNvPr>
        <xdr:cNvSpPr/>
      </xdr:nvSpPr>
      <xdr:spPr>
        <a:xfrm>
          <a:off x="742950" y="171450"/>
          <a:ext cx="1888435" cy="209550"/>
        </a:xfrm>
        <a:prstGeom prst="roundRect">
          <a:avLst/>
        </a:prstGeom>
        <a:solidFill>
          <a:schemeClr val="accent2">
            <a:lumMod val="75000"/>
          </a:schemeClr>
        </a:solidFill>
        <a:ln>
          <a:solidFill>
            <a:schemeClr val="accent2">
              <a:lumMod val="50000"/>
            </a:schemeClr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>
              <a:solidFill>
                <a:schemeClr val="bg1"/>
              </a:solidFill>
            </a:rPr>
            <a:t>IR A FORMULARIO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561975</xdr:colOff>
      <xdr:row>0</xdr:row>
      <xdr:rowOff>114300</xdr:rowOff>
    </xdr:from>
    <xdr:to>
      <xdr:col>4</xdr:col>
      <xdr:colOff>145360</xdr:colOff>
      <xdr:row>0</xdr:row>
      <xdr:rowOff>323850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0913A7D-2D08-411E-88CD-5F31841974E1}"/>
            </a:ext>
          </a:extLst>
        </xdr:cNvPr>
        <xdr:cNvSpPr/>
      </xdr:nvSpPr>
      <xdr:spPr>
        <a:xfrm>
          <a:off x="561975" y="114300"/>
          <a:ext cx="1869385" cy="209550"/>
        </a:xfrm>
        <a:prstGeom prst="roundRect">
          <a:avLst/>
        </a:prstGeom>
        <a:solidFill>
          <a:schemeClr val="accent2">
            <a:lumMod val="75000"/>
          </a:schemeClr>
        </a:solidFill>
        <a:ln>
          <a:solidFill>
            <a:schemeClr val="accent2">
              <a:lumMod val="50000"/>
            </a:schemeClr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>
              <a:solidFill>
                <a:schemeClr val="bg1"/>
              </a:solidFill>
            </a:rPr>
            <a:t>IR A FORMULARIO</a:t>
          </a:r>
        </a:p>
      </xdr:txBody>
    </xdr:sp>
    <xdr:clientData/>
  </xdr:twoCellAnchor>
  <xdr:twoCellAnchor>
    <xdr:from>
      <xdr:col>0</xdr:col>
      <xdr:colOff>733984</xdr:colOff>
      <xdr:row>11</xdr:row>
      <xdr:rowOff>169206</xdr:rowOff>
    </xdr:from>
    <xdr:to>
      <xdr:col>6</xdr:col>
      <xdr:colOff>190500</xdr:colOff>
      <xdr:row>35</xdr:row>
      <xdr:rowOff>33617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55AD431E-2FD5-40B6-8B66-27AAA80939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648740</xdr:colOff>
      <xdr:row>11</xdr:row>
      <xdr:rowOff>154000</xdr:rowOff>
    </xdr:from>
    <xdr:to>
      <xdr:col>14</xdr:col>
      <xdr:colOff>628330</xdr:colOff>
      <xdr:row>35</xdr:row>
      <xdr:rowOff>69636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92CCC92-0F70-4FBE-906D-0CAA40CA0B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465068</xdr:colOff>
      <xdr:row>3</xdr:row>
      <xdr:rowOff>2071</xdr:rowOff>
    </xdr:from>
    <xdr:to>
      <xdr:col>8</xdr:col>
      <xdr:colOff>398393</xdr:colOff>
      <xdr:row>5</xdr:row>
      <xdr:rowOff>414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C90257F-9E6A-4CB4-B5E1-FBD86535D1FF}"/>
            </a:ext>
          </a:extLst>
        </xdr:cNvPr>
        <xdr:cNvSpPr/>
      </xdr:nvSpPr>
      <xdr:spPr>
        <a:xfrm>
          <a:off x="4979918" y="573571"/>
          <a:ext cx="2981325" cy="426968"/>
        </a:xfrm>
        <a:prstGeom prst="roundRect">
          <a:avLst/>
        </a:prstGeom>
        <a:solidFill>
          <a:schemeClr val="accent2">
            <a:lumMod val="75000"/>
          </a:schemeClr>
        </a:solidFill>
        <a:ln>
          <a:solidFill>
            <a:schemeClr val="accent2">
              <a:lumMod val="50000"/>
            </a:schemeClr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>
              <a:solidFill>
                <a:schemeClr val="bg1"/>
              </a:solidFill>
            </a:rPr>
            <a:t>IR A FORMULARIO</a:t>
          </a:r>
        </a:p>
      </xdr:txBody>
    </xdr:sp>
    <xdr:clientData/>
  </xdr:twoCellAnchor>
  <xdr:twoCellAnchor>
    <xdr:from>
      <xdr:col>0</xdr:col>
      <xdr:colOff>647700</xdr:colOff>
      <xdr:row>4</xdr:row>
      <xdr:rowOff>0</xdr:rowOff>
    </xdr:from>
    <xdr:to>
      <xdr:col>3</xdr:col>
      <xdr:colOff>114300</xdr:colOff>
      <xdr:row>12</xdr:row>
      <xdr:rowOff>66675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387D2695-4AE5-45CC-B200-8BEEB98483C1}"/>
            </a:ext>
          </a:extLst>
        </xdr:cNvPr>
        <xdr:cNvSpPr/>
      </xdr:nvSpPr>
      <xdr:spPr>
        <a:xfrm>
          <a:off x="647700" y="304800"/>
          <a:ext cx="3218770" cy="1932214"/>
        </a:xfrm>
        <a:prstGeom prst="roundRect">
          <a:avLst>
            <a:gd name="adj" fmla="val 7160"/>
          </a:avLst>
        </a:prstGeom>
        <a:noFill/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4</xdr:col>
      <xdr:colOff>476250</xdr:colOff>
      <xdr:row>6</xdr:row>
      <xdr:rowOff>57150</xdr:rowOff>
    </xdr:from>
    <xdr:to>
      <xdr:col>8</xdr:col>
      <xdr:colOff>409575</xdr:colOff>
      <xdr:row>8</xdr:row>
      <xdr:rowOff>103118</xdr:rowOff>
    </xdr:to>
    <xdr:sp macro="[0]!impresion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F3332DB7-A8E3-4635-87AC-7C26FBA8D880}"/>
            </a:ext>
          </a:extLst>
        </xdr:cNvPr>
        <xdr:cNvSpPr/>
      </xdr:nvSpPr>
      <xdr:spPr>
        <a:xfrm>
          <a:off x="4991100" y="1247775"/>
          <a:ext cx="2981325" cy="426968"/>
        </a:xfrm>
        <a:prstGeom prst="roundRect">
          <a:avLst/>
        </a:prstGeom>
        <a:solidFill>
          <a:schemeClr val="accent2">
            <a:lumMod val="75000"/>
          </a:schemeClr>
        </a:solidFill>
        <a:ln>
          <a:solidFill>
            <a:schemeClr val="accent2">
              <a:lumMod val="50000"/>
            </a:schemeClr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>
              <a:solidFill>
                <a:schemeClr val="bg1"/>
              </a:solidFill>
            </a:rPr>
            <a:t>IMPRIMIR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1107622</xdr:colOff>
      <xdr:row>16</xdr:row>
      <xdr:rowOff>114300</xdr:rowOff>
    </xdr:from>
    <xdr:to>
      <xdr:col>7</xdr:col>
      <xdr:colOff>1430111</xdr:colOff>
      <xdr:row>29</xdr:row>
      <xdr:rowOff>161925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AREA">
              <a:extLst>
                <a:ext uri="{FF2B5EF4-FFF2-40B4-BE49-F238E27FC236}">
                  <a16:creationId xmlns:a16="http://schemas.microsoft.com/office/drawing/2014/main" id="{33593C27-F6A8-4052-B418-A43295F889A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RE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84872" y="3162300"/>
              <a:ext cx="1832882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145596</xdr:colOff>
      <xdr:row>16</xdr:row>
      <xdr:rowOff>73478</xdr:rowOff>
    </xdr:from>
    <xdr:to>
      <xdr:col>9</xdr:col>
      <xdr:colOff>337457</xdr:colOff>
      <xdr:row>29</xdr:row>
      <xdr:rowOff>121103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TIPO DE FIRMA">
              <a:extLst>
                <a:ext uri="{FF2B5EF4-FFF2-40B4-BE49-F238E27FC236}">
                  <a16:creationId xmlns:a16="http://schemas.microsoft.com/office/drawing/2014/main" id="{0C5F61CF-F59E-4C64-8518-2B6746FE66D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DE FIRM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766096" y="3121478"/>
              <a:ext cx="1824718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23132</xdr:colOff>
      <xdr:row>2</xdr:row>
      <xdr:rowOff>46264</xdr:rowOff>
    </xdr:from>
    <xdr:to>
      <xdr:col>9</xdr:col>
      <xdr:colOff>214993</xdr:colOff>
      <xdr:row>15</xdr:row>
      <xdr:rowOff>93889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FECHA DE INSTALACION">
              <a:extLst>
                <a:ext uri="{FF2B5EF4-FFF2-40B4-BE49-F238E27FC236}">
                  <a16:creationId xmlns:a16="http://schemas.microsoft.com/office/drawing/2014/main" id="{B4EF3557-6F8B-4F8D-9077-5398D4E02BB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DE INSTALAC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643632" y="427264"/>
              <a:ext cx="1824718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1121229</xdr:colOff>
      <xdr:row>2</xdr:row>
      <xdr:rowOff>25853</xdr:rowOff>
    </xdr:from>
    <xdr:to>
      <xdr:col>7</xdr:col>
      <xdr:colOff>1435554</xdr:colOff>
      <xdr:row>15</xdr:row>
      <xdr:rowOff>73478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OBSERVACION">
              <a:extLst>
                <a:ext uri="{FF2B5EF4-FFF2-40B4-BE49-F238E27FC236}">
                  <a16:creationId xmlns:a16="http://schemas.microsoft.com/office/drawing/2014/main" id="{E148D37E-18EA-4A52-AC85-C67A7E728ED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OBSERVAC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98479" y="406853"/>
              <a:ext cx="1824718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125.140083680555" createdVersion="6" refreshedVersion="6" minRefreshableVersion="3" recordCount="35" xr:uid="{D300464D-54BB-483C-9422-90F0079C3F0B}">
  <cacheSource type="worksheet">
    <worksheetSource ref="B5:J35" sheet="FILTROS AVANZADOS"/>
  </cacheSource>
  <cacheFields count="10">
    <cacheField name="USUARIOS(A)" numFmtId="0">
      <sharedItems count="35">
        <s v="JCL_PANFILA"/>
        <s v="FRO_PANCRASIA"/>
        <s v="ICA_ALBINO"/>
        <s v="IMB_RIGOBERTO"/>
        <s v="OOR_FRUFRU"/>
        <s v="JURIDICA"/>
        <s v="OGA_SUZAN"/>
        <s v="PRO_RODRIGO"/>
        <s v="IGO_MATEO"/>
        <s v="FFE_LUIS"/>
        <s v="JLO_EMANUEL"/>
        <s v="IMA_ROBERTO"/>
        <s v="FSA_RUBEN"/>
        <s v="OGA_RODRIGO"/>
        <s v="PRO_MATEO"/>
        <s v="IGO_LUIS"/>
        <s v="FFE_SUZAN"/>
        <s v="JLO_RODRIGO"/>
        <s v="JMA_MATEO"/>
        <s v="ISA_LUIS"/>
        <s v="FGA_EMANUEL"/>
        <s v="PRO_ROBERTO"/>
        <s v="PGO_RUBEN"/>
        <s v="FFE_RODRIGO"/>
        <s v="JLO_MATEO"/>
        <s v="IMA_LUIS"/>
        <s v="FSA_ANDRES"/>
        <s v="PGO_JIMENA"/>
        <s v="FFE_RAUL"/>
        <s v="JLO_HOMER"/>
        <s v="IMA_MARTIN"/>
        <s v="OSA_LAURA"/>
        <s v="OGA_LIDIA"/>
        <s v="ORO_PAOLA"/>
        <s v="PGO_BERTHA"/>
      </sharedItems>
    </cacheField>
    <cacheField name="AREA" numFmtId="0">
      <sharedItems count="6">
        <s v="JURIDICA"/>
        <s v="FINANCIERA"/>
        <s v="IMAGEN"/>
        <s v="OTI"/>
        <s v="PRESUPUESTO"/>
        <s v="INTEGRIDAD"/>
      </sharedItems>
    </cacheField>
    <cacheField name="APELLIDOS" numFmtId="0">
      <sharedItems count="13">
        <s v="Clorinda"/>
        <s v="Taricuarima"/>
        <s v="Caceres"/>
        <s v="Bazalarte"/>
        <s v="Ortiz"/>
        <s v="Rossybel"/>
        <s v="Garcia Blanco"/>
        <s v="Rodriguez Suarez"/>
        <s v="Gonzalez Castro"/>
        <s v="Fernandez Ortega"/>
        <s v="Lopez Delgado"/>
        <s v="Martinez Ortiz"/>
        <s v="Sanchez Marin"/>
      </sharedItems>
    </cacheField>
    <cacheField name="NOMBRES" numFmtId="0">
      <sharedItems count="21">
        <s v="Rossybel"/>
        <s v="Albino"/>
        <s v="Rigoberto"/>
        <s v="Frufru"/>
        <s v="Quijano"/>
        <s v="Suzan"/>
        <s v="Rodrigo"/>
        <s v="Mateo"/>
        <s v="Luis"/>
        <s v="Emanuel"/>
        <s v="Roberto"/>
        <s v="Ruben"/>
        <s v="Andres"/>
        <s v="Jimena"/>
        <s v="Raul"/>
        <s v="Homer"/>
        <s v="Martin"/>
        <s v="Laura"/>
        <s v="Lidia"/>
        <s v="Paola"/>
        <s v="Bertha"/>
      </sharedItems>
    </cacheField>
    <cacheField name="TIPO DE FIRMA" numFmtId="0">
      <sharedItems count="2">
        <s v="Renovación de certificado"/>
        <s v="Nuevo Certificado"/>
      </sharedItems>
    </cacheField>
    <cacheField name="FECHA DE INSTALACION" numFmtId="164">
      <sharedItems containsSemiMixedTypes="0" containsNonDate="0" containsDate="1" containsString="0" minDate="2023-06-18T00:00:00" maxDate="2023-08-19T00:00:00" count="12">
        <d v="2023-07-18T00:00:00"/>
        <d v="2023-08-18T00:00:00"/>
        <d v="2023-06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</sharedItems>
      <fieldGroup par="9" base="5">
        <rangePr groupBy="days" startDate="2023-06-18T00:00:00" endDate="2023-08-19T00:00:00"/>
        <groupItems count="368">
          <s v="&lt;6/18/2023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8/19/2023"/>
        </groupItems>
      </fieldGroup>
    </cacheField>
    <cacheField name="FECHA DE EXPIRACION" numFmtId="164">
      <sharedItems containsSemiMixedTypes="0" containsNonDate="0" containsDate="1" containsString="0" minDate="2024-07-18T00:00:00" maxDate="2024-10-19T00:00:00"/>
    </cacheField>
    <cacheField name="OBSERVACION" numFmtId="0">
      <sharedItems count="2">
        <s v="Instalado"/>
        <s v="Fallado de Instalación "/>
      </sharedItems>
    </cacheField>
    <cacheField name="CLAVE" numFmtId="0">
      <sharedItems/>
    </cacheField>
    <cacheField name="Meses" numFmtId="0" databaseField="0">
      <fieldGroup base="5">
        <rangePr groupBy="months" startDate="2023-06-18T00:00:00" endDate="2023-08-19T00:00:00"/>
        <groupItems count="14">
          <s v="&lt;6/18/2023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8/19/2023"/>
        </groupItems>
      </fieldGroup>
    </cacheField>
  </cacheFields>
  <extLst>
    <ext xmlns:x14="http://schemas.microsoft.com/office/spreadsheetml/2009/9/main" uri="{725AE2AE-9491-48be-B2B4-4EB974FC3084}">
      <x14:pivotCacheDefinition pivotCacheId="1360236700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">
  <r>
    <x v="0"/>
    <x v="0"/>
    <x v="0"/>
    <x v="0"/>
    <x v="0"/>
    <x v="0"/>
    <d v="2024-07-18T00:00:00"/>
    <x v="0"/>
    <s v="Definido por el usuario"/>
  </r>
  <r>
    <x v="1"/>
    <x v="1"/>
    <x v="1"/>
    <x v="0"/>
    <x v="1"/>
    <x v="0"/>
    <d v="2024-09-28T00:00:00"/>
    <x v="0"/>
    <s v="Definido por el usuario"/>
  </r>
  <r>
    <x v="2"/>
    <x v="2"/>
    <x v="2"/>
    <x v="1"/>
    <x v="0"/>
    <x v="0"/>
    <d v="2024-07-18T00:00:00"/>
    <x v="0"/>
    <s v="Definido por el usuario"/>
  </r>
  <r>
    <x v="3"/>
    <x v="2"/>
    <x v="3"/>
    <x v="2"/>
    <x v="1"/>
    <x v="1"/>
    <d v="2024-10-18T00:00:00"/>
    <x v="0"/>
    <s v="Definido por el usuario"/>
  </r>
  <r>
    <x v="4"/>
    <x v="3"/>
    <x v="4"/>
    <x v="3"/>
    <x v="0"/>
    <x v="2"/>
    <d v="2024-07-28T00:00:00"/>
    <x v="1"/>
    <s v="Definido por el usuario"/>
  </r>
  <r>
    <x v="5"/>
    <x v="4"/>
    <x v="5"/>
    <x v="4"/>
    <x v="1"/>
    <x v="0"/>
    <d v="2024-08-28T00:00:00"/>
    <x v="0"/>
    <s v="Definido por el usuario"/>
  </r>
  <r>
    <x v="6"/>
    <x v="3"/>
    <x v="6"/>
    <x v="5"/>
    <x v="1"/>
    <x v="0"/>
    <d v="2024-10-16T00:00:00"/>
    <x v="0"/>
    <s v="Definido por el usuario"/>
  </r>
  <r>
    <x v="7"/>
    <x v="4"/>
    <x v="7"/>
    <x v="6"/>
    <x v="0"/>
    <x v="3"/>
    <d v="2024-08-17T00:00:00"/>
    <x v="1"/>
    <s v="Definido por el usuario"/>
  </r>
  <r>
    <x v="8"/>
    <x v="5"/>
    <x v="8"/>
    <x v="7"/>
    <x v="0"/>
    <x v="4"/>
    <d v="2024-08-18T00:00:00"/>
    <x v="1"/>
    <s v="Definido por el usuario"/>
  </r>
  <r>
    <x v="9"/>
    <x v="1"/>
    <x v="9"/>
    <x v="8"/>
    <x v="1"/>
    <x v="5"/>
    <d v="2024-08-19T00:00:00"/>
    <x v="1"/>
    <s v="Definido por el usuario"/>
  </r>
  <r>
    <x v="10"/>
    <x v="0"/>
    <x v="10"/>
    <x v="9"/>
    <x v="0"/>
    <x v="6"/>
    <d v="2024-08-20T00:00:00"/>
    <x v="1"/>
    <s v="Definido por el usuario"/>
  </r>
  <r>
    <x v="11"/>
    <x v="2"/>
    <x v="11"/>
    <x v="10"/>
    <x v="1"/>
    <x v="7"/>
    <d v="2024-08-21T00:00:00"/>
    <x v="0"/>
    <s v="Definido por el usuario"/>
  </r>
  <r>
    <x v="12"/>
    <x v="1"/>
    <x v="12"/>
    <x v="11"/>
    <x v="1"/>
    <x v="8"/>
    <d v="2024-08-22T00:00:00"/>
    <x v="1"/>
    <s v="Definido por el usuario"/>
  </r>
  <r>
    <x v="13"/>
    <x v="3"/>
    <x v="6"/>
    <x v="6"/>
    <x v="1"/>
    <x v="9"/>
    <d v="2024-08-23T00:00:00"/>
    <x v="0"/>
    <s v="Definido por el usuario"/>
  </r>
  <r>
    <x v="14"/>
    <x v="4"/>
    <x v="7"/>
    <x v="7"/>
    <x v="0"/>
    <x v="10"/>
    <d v="2024-08-24T00:00:00"/>
    <x v="1"/>
    <s v="Definido por el usuario"/>
  </r>
  <r>
    <x v="15"/>
    <x v="5"/>
    <x v="8"/>
    <x v="8"/>
    <x v="0"/>
    <x v="11"/>
    <d v="2024-08-25T00:00:00"/>
    <x v="1"/>
    <s v="Definido por el usuario"/>
  </r>
  <r>
    <x v="16"/>
    <x v="1"/>
    <x v="9"/>
    <x v="5"/>
    <x v="1"/>
    <x v="5"/>
    <d v="2024-08-19T00:00:00"/>
    <x v="1"/>
    <s v="Definido por el usuario"/>
  </r>
  <r>
    <x v="17"/>
    <x v="0"/>
    <x v="10"/>
    <x v="6"/>
    <x v="0"/>
    <x v="6"/>
    <d v="2024-08-20T00:00:00"/>
    <x v="1"/>
    <s v="Definido por el usuario"/>
  </r>
  <r>
    <x v="18"/>
    <x v="0"/>
    <x v="11"/>
    <x v="7"/>
    <x v="1"/>
    <x v="7"/>
    <d v="2024-08-21T00:00:00"/>
    <x v="0"/>
    <s v="Definido por el usuario"/>
  </r>
  <r>
    <x v="19"/>
    <x v="2"/>
    <x v="12"/>
    <x v="8"/>
    <x v="1"/>
    <x v="8"/>
    <d v="2024-08-22T00:00:00"/>
    <x v="1"/>
    <s v="Definido por el usuario"/>
  </r>
  <r>
    <x v="20"/>
    <x v="1"/>
    <x v="6"/>
    <x v="9"/>
    <x v="1"/>
    <x v="9"/>
    <d v="2024-08-23T00:00:00"/>
    <x v="0"/>
    <s v="Definido por el usuario"/>
  </r>
  <r>
    <x v="21"/>
    <x v="4"/>
    <x v="7"/>
    <x v="10"/>
    <x v="0"/>
    <x v="10"/>
    <d v="2024-08-24T00:00:00"/>
    <x v="1"/>
    <s v="Definido por el usuario"/>
  </r>
  <r>
    <x v="22"/>
    <x v="4"/>
    <x v="8"/>
    <x v="11"/>
    <x v="0"/>
    <x v="11"/>
    <d v="2024-08-25T00:00:00"/>
    <x v="1"/>
    <s v="Definido por el usuario"/>
  </r>
  <r>
    <x v="23"/>
    <x v="1"/>
    <x v="9"/>
    <x v="6"/>
    <x v="1"/>
    <x v="5"/>
    <d v="2024-08-19T00:00:00"/>
    <x v="0"/>
    <s v="Definido por el usuario"/>
  </r>
  <r>
    <x v="24"/>
    <x v="0"/>
    <x v="10"/>
    <x v="7"/>
    <x v="0"/>
    <x v="6"/>
    <d v="2024-08-20T00:00:00"/>
    <x v="1"/>
    <s v="Definido por el usuario"/>
  </r>
  <r>
    <x v="25"/>
    <x v="2"/>
    <x v="11"/>
    <x v="8"/>
    <x v="1"/>
    <x v="11"/>
    <d v="2024-08-25T00:00:00"/>
    <x v="0"/>
    <s v="Definido por el usuario"/>
  </r>
  <r>
    <x v="26"/>
    <x v="1"/>
    <x v="12"/>
    <x v="12"/>
    <x v="1"/>
    <x v="11"/>
    <d v="2024-08-25T00:00:00"/>
    <x v="0"/>
    <s v="Definido por el usuario"/>
  </r>
  <r>
    <x v="27"/>
    <x v="4"/>
    <x v="8"/>
    <x v="13"/>
    <x v="1"/>
    <x v="11"/>
    <d v="2024-08-25T00:00:00"/>
    <x v="0"/>
    <s v="Definido por el usuario"/>
  </r>
  <r>
    <x v="28"/>
    <x v="1"/>
    <x v="9"/>
    <x v="14"/>
    <x v="0"/>
    <x v="5"/>
    <d v="2024-08-19T00:00:00"/>
    <x v="1"/>
    <s v="Definido por el usuario"/>
  </r>
  <r>
    <x v="29"/>
    <x v="0"/>
    <x v="10"/>
    <x v="15"/>
    <x v="0"/>
    <x v="6"/>
    <d v="2024-08-20T00:00:00"/>
    <x v="0"/>
    <s v="Definido por el usuario"/>
  </r>
  <r>
    <x v="30"/>
    <x v="2"/>
    <x v="11"/>
    <x v="16"/>
    <x v="1"/>
    <x v="7"/>
    <d v="2024-08-21T00:00:00"/>
    <x v="0"/>
    <s v="Definido por el usuario"/>
  </r>
  <r>
    <x v="31"/>
    <x v="3"/>
    <x v="12"/>
    <x v="17"/>
    <x v="0"/>
    <x v="8"/>
    <d v="2024-08-22T00:00:00"/>
    <x v="0"/>
    <s v="Definido por el usuario"/>
  </r>
  <r>
    <x v="32"/>
    <x v="3"/>
    <x v="6"/>
    <x v="18"/>
    <x v="1"/>
    <x v="9"/>
    <d v="2024-08-23T00:00:00"/>
    <x v="1"/>
    <s v="Definido por el usuario"/>
  </r>
  <r>
    <x v="33"/>
    <x v="3"/>
    <x v="7"/>
    <x v="19"/>
    <x v="1"/>
    <x v="10"/>
    <d v="2024-08-24T00:00:00"/>
    <x v="0"/>
    <s v="Definido por el usuario"/>
  </r>
  <r>
    <x v="34"/>
    <x v="4"/>
    <x v="8"/>
    <x v="20"/>
    <x v="1"/>
    <x v="11"/>
    <d v="2024-08-25T00:00:00"/>
    <x v="0"/>
    <s v="Definido por el usuario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63E0405-F7B0-4D31-9E61-DE32DE181207}" name="TablaDinámica1" cacheId="9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outline="1" outlineData="1" compactData="0" multipleFieldFilters="0">
  <location ref="A4:F124" firstHeaderRow="1" firstDataRow="1" firstDataCol="5"/>
  <pivotFields count="10">
    <pivotField axis="axisRow" dataField="1" compact="0" showAll="0">
      <items count="36">
        <item x="9"/>
        <item x="28"/>
        <item x="23"/>
        <item x="16"/>
        <item x="20"/>
        <item x="1"/>
        <item x="26"/>
        <item x="12"/>
        <item x="2"/>
        <item x="15"/>
        <item x="8"/>
        <item x="25"/>
        <item x="30"/>
        <item x="11"/>
        <item x="3"/>
        <item x="19"/>
        <item x="0"/>
        <item x="10"/>
        <item x="29"/>
        <item x="24"/>
        <item x="17"/>
        <item x="18"/>
        <item x="5"/>
        <item x="32"/>
        <item x="13"/>
        <item x="6"/>
        <item x="4"/>
        <item x="33"/>
        <item x="31"/>
        <item x="34"/>
        <item x="27"/>
        <item x="22"/>
        <item x="14"/>
        <item x="21"/>
        <item x="7"/>
        <item t="default"/>
      </items>
    </pivotField>
    <pivotField axis="axisRow" compact="0" showAll="0">
      <items count="7">
        <item x="1"/>
        <item x="2"/>
        <item x="5"/>
        <item x="0"/>
        <item x="3"/>
        <item x="4"/>
        <item t="default"/>
      </items>
    </pivotField>
    <pivotField axis="axisRow" compact="0" showAll="0">
      <items count="14">
        <item x="3"/>
        <item x="2"/>
        <item x="0"/>
        <item x="9"/>
        <item x="6"/>
        <item x="8"/>
        <item x="10"/>
        <item x="11"/>
        <item x="4"/>
        <item x="7"/>
        <item x="5"/>
        <item x="12"/>
        <item x="1"/>
        <item t="default"/>
      </items>
    </pivotField>
    <pivotField axis="axisRow" compact="0" showAll="0">
      <items count="22">
        <item x="1"/>
        <item x="12"/>
        <item x="20"/>
        <item x="9"/>
        <item x="3"/>
        <item x="15"/>
        <item x="13"/>
        <item x="17"/>
        <item x="18"/>
        <item x="8"/>
        <item x="16"/>
        <item x="7"/>
        <item x="19"/>
        <item x="4"/>
        <item x="14"/>
        <item x="2"/>
        <item x="10"/>
        <item x="6"/>
        <item x="0"/>
        <item x="11"/>
        <item x="5"/>
        <item t="default"/>
      </items>
    </pivotField>
    <pivotField compact="0" showAll="0">
      <items count="3">
        <item x="1"/>
        <item x="0"/>
        <item t="default"/>
      </items>
    </pivotField>
    <pivotField compact="0" numFmtId="164" multipleItemSelectionAllowe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compact="0" numFmtId="164" showAll="0"/>
    <pivotField compact="0" multipleItemSelectionAllowed="1" showAll="0">
      <items count="3">
        <item x="1"/>
        <item x="0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sd="0" x="5"/>
        <item x="6"/>
        <item x="7"/>
        <item x="8"/>
        <item sd="0" x="9"/>
        <item sd="0" x="10"/>
        <item sd="0" x="11"/>
        <item sd="0" x="12"/>
        <item sd="0" x="13"/>
        <item t="default"/>
      </items>
    </pivotField>
  </pivotFields>
  <rowFields count="5">
    <field x="1"/>
    <field x="9"/>
    <field x="0"/>
    <field x="3"/>
    <field x="2"/>
  </rowFields>
  <rowItems count="120">
    <i>
      <x/>
    </i>
    <i r="1">
      <x v="7"/>
    </i>
    <i r="2">
      <x/>
    </i>
    <i r="3">
      <x v="9"/>
    </i>
    <i r="4">
      <x v="3"/>
    </i>
    <i r="2">
      <x v="1"/>
    </i>
    <i r="3">
      <x v="14"/>
    </i>
    <i r="4">
      <x v="3"/>
    </i>
    <i r="2">
      <x v="2"/>
    </i>
    <i r="3">
      <x v="17"/>
    </i>
    <i r="4">
      <x v="3"/>
    </i>
    <i r="2">
      <x v="3"/>
    </i>
    <i r="3">
      <x v="20"/>
    </i>
    <i r="4">
      <x v="3"/>
    </i>
    <i r="2">
      <x v="4"/>
    </i>
    <i r="3">
      <x v="3"/>
    </i>
    <i r="4">
      <x v="4"/>
    </i>
    <i r="2">
      <x v="5"/>
    </i>
    <i r="3">
      <x v="18"/>
    </i>
    <i r="4">
      <x v="12"/>
    </i>
    <i r="2">
      <x v="6"/>
    </i>
    <i r="3">
      <x v="1"/>
    </i>
    <i r="4">
      <x v="11"/>
    </i>
    <i r="2">
      <x v="7"/>
    </i>
    <i r="3">
      <x v="19"/>
    </i>
    <i r="4">
      <x v="11"/>
    </i>
    <i>
      <x v="1"/>
    </i>
    <i r="1">
      <x v="7"/>
    </i>
    <i r="2">
      <x v="8"/>
    </i>
    <i r="3">
      <x/>
    </i>
    <i r="4">
      <x v="1"/>
    </i>
    <i r="2">
      <x v="11"/>
    </i>
    <i r="3">
      <x v="9"/>
    </i>
    <i r="4">
      <x v="7"/>
    </i>
    <i r="2">
      <x v="12"/>
    </i>
    <i r="3">
      <x v="10"/>
    </i>
    <i r="4">
      <x v="7"/>
    </i>
    <i r="2">
      <x v="13"/>
    </i>
    <i r="3">
      <x v="16"/>
    </i>
    <i r="4">
      <x v="7"/>
    </i>
    <i r="2">
      <x v="15"/>
    </i>
    <i r="3">
      <x v="9"/>
    </i>
    <i r="4">
      <x v="11"/>
    </i>
    <i r="1">
      <x v="8"/>
    </i>
    <i r="2">
      <x v="14"/>
    </i>
    <i r="3">
      <x v="15"/>
    </i>
    <i r="4">
      <x/>
    </i>
    <i>
      <x v="2"/>
    </i>
    <i r="1">
      <x v="7"/>
    </i>
    <i r="2">
      <x v="9"/>
    </i>
    <i r="3">
      <x v="9"/>
    </i>
    <i r="4">
      <x v="5"/>
    </i>
    <i r="2">
      <x v="10"/>
    </i>
    <i r="3">
      <x v="11"/>
    </i>
    <i r="4">
      <x v="5"/>
    </i>
    <i>
      <x v="3"/>
    </i>
    <i r="1">
      <x v="7"/>
    </i>
    <i r="2">
      <x v="16"/>
    </i>
    <i r="3">
      <x v="18"/>
    </i>
    <i r="4">
      <x v="2"/>
    </i>
    <i r="2">
      <x v="17"/>
    </i>
    <i r="3">
      <x v="3"/>
    </i>
    <i r="4">
      <x v="6"/>
    </i>
    <i r="2">
      <x v="18"/>
    </i>
    <i r="3">
      <x v="5"/>
    </i>
    <i r="4">
      <x v="6"/>
    </i>
    <i r="2">
      <x v="19"/>
    </i>
    <i r="3">
      <x v="11"/>
    </i>
    <i r="4">
      <x v="6"/>
    </i>
    <i r="2">
      <x v="20"/>
    </i>
    <i r="3">
      <x v="17"/>
    </i>
    <i r="4">
      <x v="6"/>
    </i>
    <i r="2">
      <x v="21"/>
    </i>
    <i r="3">
      <x v="11"/>
    </i>
    <i r="4">
      <x v="7"/>
    </i>
    <i>
      <x v="4"/>
    </i>
    <i r="1">
      <x v="6"/>
    </i>
    <i r="2">
      <x v="26"/>
    </i>
    <i r="3">
      <x v="4"/>
    </i>
    <i r="4">
      <x v="8"/>
    </i>
    <i r="1">
      <x v="7"/>
    </i>
    <i r="2">
      <x v="23"/>
    </i>
    <i r="3">
      <x v="8"/>
    </i>
    <i r="4">
      <x v="4"/>
    </i>
    <i r="2">
      <x v="24"/>
    </i>
    <i r="3">
      <x v="17"/>
    </i>
    <i r="4">
      <x v="4"/>
    </i>
    <i r="2">
      <x v="25"/>
    </i>
    <i r="3">
      <x v="20"/>
    </i>
    <i r="4">
      <x v="4"/>
    </i>
    <i r="2">
      <x v="27"/>
    </i>
    <i r="3">
      <x v="12"/>
    </i>
    <i r="4">
      <x v="9"/>
    </i>
    <i r="2">
      <x v="28"/>
    </i>
    <i r="3">
      <x v="7"/>
    </i>
    <i r="4">
      <x v="11"/>
    </i>
    <i>
      <x v="5"/>
    </i>
    <i r="1">
      <x v="7"/>
    </i>
    <i r="2">
      <x v="22"/>
    </i>
    <i r="3">
      <x v="13"/>
    </i>
    <i r="4">
      <x v="10"/>
    </i>
    <i r="2">
      <x v="29"/>
    </i>
    <i r="3">
      <x v="2"/>
    </i>
    <i r="4">
      <x v="5"/>
    </i>
    <i r="2">
      <x v="30"/>
    </i>
    <i r="3">
      <x v="6"/>
    </i>
    <i r="4">
      <x v="5"/>
    </i>
    <i r="2">
      <x v="31"/>
    </i>
    <i r="3">
      <x v="19"/>
    </i>
    <i r="4">
      <x v="5"/>
    </i>
    <i r="2">
      <x v="32"/>
    </i>
    <i r="3">
      <x v="11"/>
    </i>
    <i r="4">
      <x v="9"/>
    </i>
    <i r="2">
      <x v="33"/>
    </i>
    <i r="3">
      <x v="16"/>
    </i>
    <i r="4">
      <x v="9"/>
    </i>
    <i r="2">
      <x v="34"/>
    </i>
    <i r="3">
      <x v="17"/>
    </i>
    <i r="4">
      <x v="9"/>
    </i>
    <i t="grand">
      <x/>
    </i>
  </rowItems>
  <colItems count="1">
    <i/>
  </colItems>
  <dataFields count="1">
    <dataField name="Cuenta de USUARIOS(A)" fld="0" subtotal="count" baseField="0" baseItem="0"/>
  </dataFields>
  <pivotTableStyleInfo name="PivotStyleMedium1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REA" xr10:uid="{67FEA710-DF97-43EC-9716-697F56FBB508}" sourceName="AREA">
  <pivotTables>
    <pivotTable tabId="10" name="TablaDinámica1"/>
  </pivotTables>
  <data>
    <tabular pivotCacheId="1360236700">
      <items count="6">
        <i x="1" s="1"/>
        <i x="2" s="1"/>
        <i x="5" s="1"/>
        <i x="0" s="1"/>
        <i x="3" s="1"/>
        <i x="4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DE_FIRMA" xr10:uid="{58427E39-B06D-4BD2-93B2-C623FEBF5AE7}" sourceName="TIPO DE FIRMA">
  <pivotTables>
    <pivotTable tabId="10" name="TablaDinámica1"/>
  </pivotTables>
  <data>
    <tabular pivotCacheId="1360236700">
      <items count="2">
        <i x="1" s="1"/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ECHA_DE_INSTALACION" xr10:uid="{96895307-D4A7-4F0B-B7A0-2208464F0A21}" sourceName="FECHA DE INSTALACION">
  <pivotTables>
    <pivotTable tabId="10" name="TablaDinámica1"/>
  </pivotTables>
  <data>
    <tabular pivotCacheId="1360236700">
      <items count="368">
        <i x="231" s="1"/>
        <i x="200" s="1"/>
        <i x="170" s="1"/>
        <i x="201" s="1"/>
        <i x="202" s="1"/>
        <i x="203" s="1"/>
        <i x="204" s="1"/>
        <i x="205" s="1"/>
        <i x="206" s="1"/>
        <i x="207" s="1"/>
        <i x="208" s="1"/>
        <i x="209" s="1"/>
        <i x="0" s="1" nd="1"/>
        <i x="367" s="1" nd="1"/>
        <i x="101" s="1" nd="1"/>
        <i x="223" s="1" nd="1"/>
        <i x="345" s="1" nd="1"/>
        <i x="41" s="1" nd="1"/>
        <i x="10" s="1" nd="1"/>
        <i x="192" s="1" nd="1"/>
        <i x="162" s="1" nd="1"/>
        <i x="70" s="1" nd="1"/>
        <i x="131" s="1" nd="1"/>
        <i x="315" s="1" nd="1"/>
        <i x="284" s="1" nd="1"/>
        <i x="254" s="1" nd="1"/>
        <i x="102" s="1" nd="1"/>
        <i x="224" s="1" nd="1"/>
        <i x="346" s="1" nd="1"/>
        <i x="42" s="1" nd="1"/>
        <i x="11" s="1" nd="1"/>
        <i x="193" s="1" nd="1"/>
        <i x="163" s="1" nd="1"/>
        <i x="71" s="1" nd="1"/>
        <i x="132" s="1" nd="1"/>
        <i x="316" s="1" nd="1"/>
        <i x="285" s="1" nd="1"/>
        <i x="255" s="1" nd="1"/>
        <i x="103" s="1" nd="1"/>
        <i x="225" s="1" nd="1"/>
        <i x="347" s="1" nd="1"/>
        <i x="43" s="1" nd="1"/>
        <i x="12" s="1" nd="1"/>
        <i x="194" s="1" nd="1"/>
        <i x="164" s="1" nd="1"/>
        <i x="72" s="1" nd="1"/>
        <i x="133" s="1" nd="1"/>
        <i x="317" s="1" nd="1"/>
        <i x="286" s="1" nd="1"/>
        <i x="256" s="1" nd="1"/>
        <i x="104" s="1" nd="1"/>
        <i x="226" s="1" nd="1"/>
        <i x="348" s="1" nd="1"/>
        <i x="44" s="1" nd="1"/>
        <i x="13" s="1" nd="1"/>
        <i x="195" s="1" nd="1"/>
        <i x="165" s="1" nd="1"/>
        <i x="73" s="1" nd="1"/>
        <i x="134" s="1" nd="1"/>
        <i x="318" s="1" nd="1"/>
        <i x="287" s="1" nd="1"/>
        <i x="257" s="1" nd="1"/>
        <i x="105" s="1" nd="1"/>
        <i x="227" s="1" nd="1"/>
        <i x="349" s="1" nd="1"/>
        <i x="45" s="1" nd="1"/>
        <i x="14" s="1" nd="1"/>
        <i x="196" s="1" nd="1"/>
        <i x="166" s="1" nd="1"/>
        <i x="74" s="1" nd="1"/>
        <i x="135" s="1" nd="1"/>
        <i x="319" s="1" nd="1"/>
        <i x="288" s="1" nd="1"/>
        <i x="258" s="1" nd="1"/>
        <i x="106" s="1" nd="1"/>
        <i x="228" s="1" nd="1"/>
        <i x="350" s="1" nd="1"/>
        <i x="46" s="1" nd="1"/>
        <i x="15" s="1" nd="1"/>
        <i x="197" s="1" nd="1"/>
        <i x="167" s="1" nd="1"/>
        <i x="75" s="1" nd="1"/>
        <i x="136" s="1" nd="1"/>
        <i x="320" s="1" nd="1"/>
        <i x="289" s="1" nd="1"/>
        <i x="259" s="1" nd="1"/>
        <i x="107" s="1" nd="1"/>
        <i x="229" s="1" nd="1"/>
        <i x="351" s="1" nd="1"/>
        <i x="47" s="1" nd="1"/>
        <i x="16" s="1" nd="1"/>
        <i x="198" s="1" nd="1"/>
        <i x="168" s="1" nd="1"/>
        <i x="76" s="1" nd="1"/>
        <i x="137" s="1" nd="1"/>
        <i x="321" s="1" nd="1"/>
        <i x="290" s="1" nd="1"/>
        <i x="260" s="1" nd="1"/>
        <i x="108" s="1" nd="1"/>
        <i x="230" s="1" nd="1"/>
        <i x="352" s="1" nd="1"/>
        <i x="48" s="1" nd="1"/>
        <i x="17" s="1" nd="1"/>
        <i x="199" s="1" nd="1"/>
        <i x="169" s="1" nd="1"/>
        <i x="77" s="1" nd="1"/>
        <i x="138" s="1" nd="1"/>
        <i x="322" s="1" nd="1"/>
        <i x="291" s="1" nd="1"/>
        <i x="261" s="1" nd="1"/>
        <i x="109" s="1" nd="1"/>
        <i x="353" s="1" nd="1"/>
        <i x="49" s="1" nd="1"/>
        <i x="18" s="1" nd="1"/>
        <i x="78" s="1" nd="1"/>
        <i x="139" s="1" nd="1"/>
        <i x="323" s="1" nd="1"/>
        <i x="292" s="1" nd="1"/>
        <i x="262" s="1" nd="1"/>
        <i x="110" s="1" nd="1"/>
        <i x="232" s="1" nd="1"/>
        <i x="354" s="1" nd="1"/>
        <i x="50" s="1" nd="1"/>
        <i x="19" s="1" nd="1"/>
        <i x="171" s="1" nd="1"/>
        <i x="79" s="1" nd="1"/>
        <i x="140" s="1" nd="1"/>
        <i x="324" s="1" nd="1"/>
        <i x="293" s="1" nd="1"/>
        <i x="263" s="1" nd="1"/>
        <i x="92" s="1" nd="1"/>
        <i x="214" s="1" nd="1"/>
        <i x="336" s="1" nd="1"/>
        <i x="32" s="1" nd="1"/>
        <i x="1" s="1" nd="1"/>
        <i x="183" s="1" nd="1"/>
        <i x="153" s="1" nd="1"/>
        <i x="61" s="1" nd="1"/>
        <i x="122" s="1" nd="1"/>
        <i x="306" s="1" nd="1"/>
        <i x="275" s="1" nd="1"/>
        <i x="245" s="1" nd="1"/>
        <i x="111" s="1" nd="1"/>
        <i x="233" s="1" nd="1"/>
        <i x="355" s="1" nd="1"/>
        <i x="51" s="1" nd="1"/>
        <i x="20" s="1" nd="1"/>
        <i x="172" s="1" nd="1"/>
        <i x="80" s="1" nd="1"/>
        <i x="141" s="1" nd="1"/>
        <i x="325" s="1" nd="1"/>
        <i x="294" s="1" nd="1"/>
        <i x="264" s="1" nd="1"/>
        <i x="112" s="1" nd="1"/>
        <i x="234" s="1" nd="1"/>
        <i x="356" s="1" nd="1"/>
        <i x="52" s="1" nd="1"/>
        <i x="21" s="1" nd="1"/>
        <i x="173" s="1" nd="1"/>
        <i x="81" s="1" nd="1"/>
        <i x="142" s="1" nd="1"/>
        <i x="326" s="1" nd="1"/>
        <i x="295" s="1" nd="1"/>
        <i x="265" s="1" nd="1"/>
        <i x="113" s="1" nd="1"/>
        <i x="235" s="1" nd="1"/>
        <i x="357" s="1" nd="1"/>
        <i x="53" s="1" nd="1"/>
        <i x="22" s="1" nd="1"/>
        <i x="174" s="1" nd="1"/>
        <i x="82" s="1" nd="1"/>
        <i x="143" s="1" nd="1"/>
        <i x="327" s="1" nd="1"/>
        <i x="296" s="1" nd="1"/>
        <i x="266" s="1" nd="1"/>
        <i x="114" s="1" nd="1"/>
        <i x="236" s="1" nd="1"/>
        <i x="358" s="1" nd="1"/>
        <i x="54" s="1" nd="1"/>
        <i x="23" s="1" nd="1"/>
        <i x="175" s="1" nd="1"/>
        <i x="83" s="1" nd="1"/>
        <i x="144" s="1" nd="1"/>
        <i x="328" s="1" nd="1"/>
        <i x="297" s="1" nd="1"/>
        <i x="267" s="1" nd="1"/>
        <i x="115" s="1" nd="1"/>
        <i x="237" s="1" nd="1"/>
        <i x="359" s="1" nd="1"/>
        <i x="55" s="1" nd="1"/>
        <i x="24" s="1" nd="1"/>
        <i x="176" s="1" nd="1"/>
        <i x="84" s="1" nd="1"/>
        <i x="145" s="1" nd="1"/>
        <i x="329" s="1" nd="1"/>
        <i x="298" s="1" nd="1"/>
        <i x="268" s="1" nd="1"/>
        <i x="116" s="1" nd="1"/>
        <i x="238" s="1" nd="1"/>
        <i x="360" s="1" nd="1"/>
        <i x="56" s="1" nd="1"/>
        <i x="25" s="1" nd="1"/>
        <i x="177" s="1" nd="1"/>
        <i x="85" s="1" nd="1"/>
        <i x="146" s="1" nd="1"/>
        <i x="330" s="1" nd="1"/>
        <i x="299" s="1" nd="1"/>
        <i x="269" s="1" nd="1"/>
        <i x="117" s="1" nd="1"/>
        <i x="239" s="1" nd="1"/>
        <i x="361" s="1" nd="1"/>
        <i x="57" s="1" nd="1"/>
        <i x="26" s="1" nd="1"/>
        <i x="178" s="1" nd="1"/>
        <i x="86" s="1" nd="1"/>
        <i x="147" s="1" nd="1"/>
        <i x="331" s="1" nd="1"/>
        <i x="300" s="1" nd="1"/>
        <i x="270" s="1" nd="1"/>
        <i x="118" s="1" nd="1"/>
        <i x="240" s="1" nd="1"/>
        <i x="362" s="1" nd="1"/>
        <i x="58" s="1" nd="1"/>
        <i x="27" s="1" nd="1"/>
        <i x="179" s="1" nd="1"/>
        <i x="87" s="1" nd="1"/>
        <i x="148" s="1" nd="1"/>
        <i x="332" s="1" nd="1"/>
        <i x="301" s="1" nd="1"/>
        <i x="271" s="1" nd="1"/>
        <i x="119" s="1" nd="1"/>
        <i x="241" s="1" nd="1"/>
        <i x="363" s="1" nd="1"/>
        <i x="59" s="1" nd="1"/>
        <i x="28" s="1" nd="1"/>
        <i x="210" s="1" nd="1"/>
        <i x="180" s="1" nd="1"/>
        <i x="88" s="1" nd="1"/>
        <i x="149" s="1" nd="1"/>
        <i x="333" s="1" nd="1"/>
        <i x="302" s="1" nd="1"/>
        <i x="272" s="1" nd="1"/>
        <i x="120" s="1" nd="1"/>
        <i x="242" s="1" nd="1"/>
        <i x="364" s="1" nd="1"/>
        <i x="60" s="1" nd="1"/>
        <i x="29" s="1" nd="1"/>
        <i x="211" s="1" nd="1"/>
        <i x="181" s="1" nd="1"/>
        <i x="89" s="1" nd="1"/>
        <i x="150" s="1" nd="1"/>
        <i x="334" s="1" nd="1"/>
        <i x="303" s="1" nd="1"/>
        <i x="273" s="1" nd="1"/>
        <i x="93" s="1" nd="1"/>
        <i x="215" s="1" nd="1"/>
        <i x="337" s="1" nd="1"/>
        <i x="33" s="1" nd="1"/>
        <i x="2" s="1" nd="1"/>
        <i x="184" s="1" nd="1"/>
        <i x="154" s="1" nd="1"/>
        <i x="62" s="1" nd="1"/>
        <i x="123" s="1" nd="1"/>
        <i x="307" s="1" nd="1"/>
        <i x="276" s="1" nd="1"/>
        <i x="246" s="1" nd="1"/>
        <i x="121" s="1" nd="1"/>
        <i x="243" s="1" nd="1"/>
        <i x="365" s="1" nd="1"/>
        <i x="30" s="1" nd="1"/>
        <i x="212" s="1" nd="1"/>
        <i x="182" s="1" nd="1"/>
        <i x="90" s="1" nd="1"/>
        <i x="151" s="1" nd="1"/>
        <i x="335" s="1" nd="1"/>
        <i x="304" s="1" nd="1"/>
        <i x="274" s="1" nd="1"/>
        <i x="244" s="1" nd="1"/>
        <i x="366" s="1" nd="1"/>
        <i x="31" s="1" nd="1"/>
        <i x="213" s="1" nd="1"/>
        <i x="91" s="1" nd="1"/>
        <i x="152" s="1" nd="1"/>
        <i x="305" s="1" nd="1"/>
        <i x="94" s="1" nd="1"/>
        <i x="216" s="1" nd="1"/>
        <i x="338" s="1" nd="1"/>
        <i x="34" s="1" nd="1"/>
        <i x="3" s="1" nd="1"/>
        <i x="185" s="1" nd="1"/>
        <i x="155" s="1" nd="1"/>
        <i x="63" s="1" nd="1"/>
        <i x="124" s="1" nd="1"/>
        <i x="308" s="1" nd="1"/>
        <i x="277" s="1" nd="1"/>
        <i x="247" s="1" nd="1"/>
        <i x="95" s="1" nd="1"/>
        <i x="217" s="1" nd="1"/>
        <i x="339" s="1" nd="1"/>
        <i x="35" s="1" nd="1"/>
        <i x="4" s="1" nd="1"/>
        <i x="186" s="1" nd="1"/>
        <i x="156" s="1" nd="1"/>
        <i x="64" s="1" nd="1"/>
        <i x="125" s="1" nd="1"/>
        <i x="309" s="1" nd="1"/>
        <i x="278" s="1" nd="1"/>
        <i x="248" s="1" nd="1"/>
        <i x="96" s="1" nd="1"/>
        <i x="218" s="1" nd="1"/>
        <i x="340" s="1" nd="1"/>
        <i x="36" s="1" nd="1"/>
        <i x="5" s="1" nd="1"/>
        <i x="187" s="1" nd="1"/>
        <i x="157" s="1" nd="1"/>
        <i x="65" s="1" nd="1"/>
        <i x="126" s="1" nd="1"/>
        <i x="310" s="1" nd="1"/>
        <i x="279" s="1" nd="1"/>
        <i x="249" s="1" nd="1"/>
        <i x="97" s="1" nd="1"/>
        <i x="219" s="1" nd="1"/>
        <i x="341" s="1" nd="1"/>
        <i x="37" s="1" nd="1"/>
        <i x="6" s="1" nd="1"/>
        <i x="188" s="1" nd="1"/>
        <i x="158" s="1" nd="1"/>
        <i x="66" s="1" nd="1"/>
        <i x="127" s="1" nd="1"/>
        <i x="311" s="1" nd="1"/>
        <i x="280" s="1" nd="1"/>
        <i x="250" s="1" nd="1"/>
        <i x="98" s="1" nd="1"/>
        <i x="220" s="1" nd="1"/>
        <i x="342" s="1" nd="1"/>
        <i x="38" s="1" nd="1"/>
        <i x="7" s="1" nd="1"/>
        <i x="189" s="1" nd="1"/>
        <i x="159" s="1" nd="1"/>
        <i x="67" s="1" nd="1"/>
        <i x="128" s="1" nd="1"/>
        <i x="312" s="1" nd="1"/>
        <i x="281" s="1" nd="1"/>
        <i x="251" s="1" nd="1"/>
        <i x="99" s="1" nd="1"/>
        <i x="221" s="1" nd="1"/>
        <i x="343" s="1" nd="1"/>
        <i x="39" s="1" nd="1"/>
        <i x="8" s="1" nd="1"/>
        <i x="190" s="1" nd="1"/>
        <i x="160" s="1" nd="1"/>
        <i x="68" s="1" nd="1"/>
        <i x="129" s="1" nd="1"/>
        <i x="313" s="1" nd="1"/>
        <i x="282" s="1" nd="1"/>
        <i x="252" s="1" nd="1"/>
        <i x="100" s="1" nd="1"/>
        <i x="222" s="1" nd="1"/>
        <i x="344" s="1" nd="1"/>
        <i x="40" s="1" nd="1"/>
        <i x="9" s="1" nd="1"/>
        <i x="191" s="1" nd="1"/>
        <i x="161" s="1" nd="1"/>
        <i x="69" s="1" nd="1"/>
        <i x="130" s="1" nd="1"/>
        <i x="314" s="1" nd="1"/>
        <i x="283" s="1" nd="1"/>
        <i x="253" s="1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OBSERVACION" xr10:uid="{912657BD-A077-4FC5-8496-4D0DE6C16B66}" sourceName="OBSERVACION">
  <pivotTables>
    <pivotTable tabId="10" name="TablaDinámica1"/>
  </pivotTables>
  <data>
    <tabular pivotCacheId="1360236700">
      <items count="2">
        <i x="1" s="1"/>
        <i x="0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REA" xr10:uid="{A04B68A2-EEE9-40F4-BD63-D999CE61932A}" cache="SegmentaciónDeDatos_AREA" caption="AREA" style="SlicerStyleDark2" rowHeight="241300"/>
  <slicer name="TIPO DE FIRMA" xr10:uid="{97D0B11A-C363-499D-9618-202D0AA19AAD}" cache="SegmentaciónDeDatos_TIPO_DE_FIRMA" caption="TIPO DE FIRMA" style="SlicerStyleDark2" rowHeight="241300"/>
  <slicer name="FECHA DE INSTALACION" xr10:uid="{A888AE34-B65E-4E78-9765-A216320D63F4}" cache="SegmentaciónDeDatos_FECHA_DE_INSTALACION" caption="FECHA DE INSTALACION" style="SlicerStyleDark2" rowHeight="241300"/>
  <slicer name="OBSERVACION" xr10:uid="{06F81E30-92BF-48F3-8773-37FBE0F0F678}" cache="SegmentaciónDeDatos_OBSERVACION" caption="OBSERVACION" style="SlicerStyleDark2" rowHeight="241300"/>
</slicer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18724-BC7E-49D5-8558-6C756A3DF8BE}">
  <sheetPr codeName="Hoja1"/>
  <dimension ref="B8:F24"/>
  <sheetViews>
    <sheetView showGridLines="0" tabSelected="1" zoomScale="85" zoomScaleNormal="85" workbookViewId="0">
      <selection activeCell="J16" sqref="J16"/>
    </sheetView>
  </sheetViews>
  <sheetFormatPr baseColWidth="10" defaultRowHeight="15" x14ac:dyDescent="0.25"/>
  <cols>
    <col min="2" max="2" width="22.5703125" customWidth="1"/>
    <col min="3" max="3" width="30.5703125" customWidth="1"/>
    <col min="4" max="4" width="5.42578125" customWidth="1"/>
    <col min="5" max="5" width="17.28515625" customWidth="1"/>
  </cols>
  <sheetData>
    <row r="8" spans="2:6" s="5" customFormat="1" ht="42.75" customHeight="1" x14ac:dyDescent="0.25">
      <c r="B8" s="23" t="s">
        <v>9</v>
      </c>
      <c r="C8" s="23"/>
      <c r="E8" s="23" t="s">
        <v>16</v>
      </c>
      <c r="F8" s="23"/>
    </row>
    <row r="9" spans="2:6" ht="15" customHeight="1" x14ac:dyDescent="0.25"/>
    <row r="10" spans="2:6" ht="12" customHeight="1" x14ac:dyDescent="0.25"/>
    <row r="11" spans="2:6" x14ac:dyDescent="0.25">
      <c r="B11" s="4" t="s">
        <v>25</v>
      </c>
    </row>
    <row r="12" spans="2:6" x14ac:dyDescent="0.25">
      <c r="B12" s="4" t="s">
        <v>0</v>
      </c>
    </row>
    <row r="13" spans="2:6" x14ac:dyDescent="0.25">
      <c r="B13" s="4" t="s">
        <v>1</v>
      </c>
    </row>
    <row r="14" spans="2:6" x14ac:dyDescent="0.25">
      <c r="B14" s="4" t="s">
        <v>2</v>
      </c>
    </row>
    <row r="15" spans="2:6" x14ac:dyDescent="0.25">
      <c r="B15" s="4" t="s">
        <v>4</v>
      </c>
    </row>
    <row r="16" spans="2:6" x14ac:dyDescent="0.25">
      <c r="B16" s="4" t="s">
        <v>5</v>
      </c>
      <c r="C16" s="18"/>
    </row>
    <row r="17" spans="2:3" x14ac:dyDescent="0.25">
      <c r="B17" s="4" t="s">
        <v>6</v>
      </c>
      <c r="C17" s="18"/>
    </row>
    <row r="18" spans="2:3" x14ac:dyDescent="0.25">
      <c r="B18" s="4" t="s">
        <v>7</v>
      </c>
    </row>
    <row r="19" spans="2:3" x14ac:dyDescent="0.25">
      <c r="B19" s="4" t="s">
        <v>8</v>
      </c>
    </row>
    <row r="22" spans="2:3" x14ac:dyDescent="0.25">
      <c r="C22" s="3"/>
    </row>
    <row r="23" spans="2:3" x14ac:dyDescent="0.25">
      <c r="C23" s="3"/>
    </row>
    <row r="24" spans="2:3" x14ac:dyDescent="0.25">
      <c r="C24" s="3"/>
    </row>
  </sheetData>
  <mergeCells count="2">
    <mergeCell ref="B8:C8"/>
    <mergeCell ref="E8:F8"/>
  </mergeCells>
  <dataValidations count="2">
    <dataValidation type="list" allowBlank="1" showInputMessage="1" showErrorMessage="1" sqref="C15" xr:uid="{9874270D-BEAC-4D76-BE86-A4CA272D2814}">
      <formula1>"Nuevo Certificado, Renovación de certificado"</formula1>
    </dataValidation>
    <dataValidation type="list" showInputMessage="1" showErrorMessage="1" sqref="C18" xr:uid="{E9457279-ECBC-45FA-A7EB-D59909A2417D}">
      <formula1>"Instalado, Fallado de Instalación "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errorTitle="ERROR DE DATO" error="Ah elegido una opcion equivocada" promptTitle="SELECCIONE UNA OPCION" prompt="Elija entre las opciones propuestas aqui para poder proseguir con el formulario." xr:uid="{8BC35A5C-857E-4D5B-9937-3A4A7631A873}">
          <x14:formula1>
            <xm:f>EXTENSION!$B$3:$B$8</xm:f>
          </x14:formula1>
          <xm:sqref>C12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440F7-1838-4693-9675-D047DCCBA3C2}">
  <sheetPr codeName="Hoja2"/>
  <dimension ref="B2:B8"/>
  <sheetViews>
    <sheetView zoomScale="85" zoomScaleNormal="85" workbookViewId="0">
      <selection activeCell="E19" sqref="E19"/>
    </sheetView>
  </sheetViews>
  <sheetFormatPr baseColWidth="10" defaultRowHeight="15" x14ac:dyDescent="0.25"/>
  <cols>
    <col min="2" max="2" width="16.85546875" customWidth="1"/>
  </cols>
  <sheetData>
    <row r="2" spans="2:2" x14ac:dyDescent="0.25">
      <c r="B2" s="7" t="s">
        <v>0</v>
      </c>
    </row>
    <row r="3" spans="2:2" x14ac:dyDescent="0.25">
      <c r="B3" t="s">
        <v>13</v>
      </c>
    </row>
    <row r="4" spans="2:2" x14ac:dyDescent="0.25">
      <c r="B4" t="s">
        <v>14</v>
      </c>
    </row>
    <row r="5" spans="2:2" x14ac:dyDescent="0.25">
      <c r="B5" t="s">
        <v>15</v>
      </c>
    </row>
    <row r="6" spans="2:2" x14ac:dyDescent="0.25">
      <c r="B6" t="s">
        <v>10</v>
      </c>
    </row>
    <row r="7" spans="2:2" x14ac:dyDescent="0.25">
      <c r="B7" t="s">
        <v>11</v>
      </c>
    </row>
    <row r="8" spans="2:2" x14ac:dyDescent="0.25">
      <c r="B8" t="s">
        <v>12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BB1F5-007C-47FF-9887-5A4EB3AE2C48}">
  <sheetPr codeName="Hoja3"/>
  <dimension ref="B1:J38"/>
  <sheetViews>
    <sheetView showGridLines="0" zoomScale="85" zoomScaleNormal="85" workbookViewId="0">
      <selection activeCell="E14" sqref="E14"/>
    </sheetView>
  </sheetViews>
  <sheetFormatPr baseColWidth="10" defaultRowHeight="15" x14ac:dyDescent="0.25"/>
  <cols>
    <col min="1" max="1" width="5.5703125" style="11" customWidth="1"/>
    <col min="2" max="2" width="19.85546875" style="11" customWidth="1"/>
    <col min="3" max="3" width="15.7109375" style="11" customWidth="1"/>
    <col min="4" max="4" width="20" style="11" customWidth="1"/>
    <col min="5" max="5" width="15.5703125" style="11" customWidth="1"/>
    <col min="6" max="6" width="27.5703125" style="11" customWidth="1"/>
    <col min="7" max="7" width="28.140625" style="10" customWidth="1"/>
    <col min="8" max="8" width="21.85546875" style="11" customWidth="1"/>
    <col min="9" max="9" width="21.28515625" style="11" customWidth="1"/>
    <col min="10" max="10" width="23.28515625" style="11" customWidth="1"/>
    <col min="11" max="16384" width="11.42578125" style="11"/>
  </cols>
  <sheetData>
    <row r="1" spans="2:10" customFormat="1" ht="45" customHeight="1" x14ac:dyDescent="0.25">
      <c r="G1" s="1"/>
    </row>
    <row r="2" spans="2:10" customFormat="1" x14ac:dyDescent="0.25">
      <c r="B2" s="8" t="s">
        <v>3</v>
      </c>
      <c r="C2" s="8" t="s">
        <v>0</v>
      </c>
      <c r="D2" s="8" t="s">
        <v>1</v>
      </c>
      <c r="E2" s="8" t="s">
        <v>2</v>
      </c>
      <c r="F2" s="8" t="s">
        <v>4</v>
      </c>
      <c r="G2" s="8" t="s">
        <v>5</v>
      </c>
      <c r="H2" s="8" t="s">
        <v>6</v>
      </c>
      <c r="I2" s="8" t="s">
        <v>7</v>
      </c>
      <c r="J2" s="8" t="s">
        <v>21</v>
      </c>
    </row>
    <row r="3" spans="2:10" customFormat="1" ht="24.75" customHeight="1" x14ac:dyDescent="0.25">
      <c r="B3" s="12"/>
      <c r="C3" s="12"/>
      <c r="D3" s="12"/>
      <c r="E3" s="12"/>
      <c r="F3" s="12"/>
      <c r="G3" s="12"/>
      <c r="H3" s="12"/>
      <c r="I3" s="12"/>
      <c r="J3" s="12"/>
    </row>
    <row r="4" spans="2:10" customFormat="1" ht="42" customHeight="1" x14ac:dyDescent="0.25">
      <c r="G4" s="14"/>
      <c r="H4" s="2"/>
    </row>
    <row r="5" spans="2:10" customFormat="1" x14ac:dyDescent="0.25">
      <c r="B5" s="6" t="s">
        <v>3</v>
      </c>
      <c r="C5" s="6" t="s">
        <v>0</v>
      </c>
      <c r="D5" s="6" t="s">
        <v>1</v>
      </c>
      <c r="E5" s="6" t="s">
        <v>2</v>
      </c>
      <c r="F5" s="6" t="s">
        <v>4</v>
      </c>
      <c r="G5" s="6" t="s">
        <v>5</v>
      </c>
      <c r="H5" s="6" t="s">
        <v>6</v>
      </c>
      <c r="I5" s="6" t="s">
        <v>7</v>
      </c>
      <c r="J5" s="6" t="s">
        <v>21</v>
      </c>
    </row>
    <row r="6" spans="2:10" s="13" customFormat="1" x14ac:dyDescent="0.25">
      <c r="B6" t="s">
        <v>165</v>
      </c>
      <c r="C6" t="s">
        <v>15</v>
      </c>
      <c r="D6" t="s">
        <v>19</v>
      </c>
      <c r="E6" t="s">
        <v>164</v>
      </c>
      <c r="F6" t="s">
        <v>17</v>
      </c>
      <c r="G6" s="20">
        <v>45125</v>
      </c>
      <c r="H6" s="20">
        <v>45491</v>
      </c>
      <c r="I6" t="s">
        <v>20</v>
      </c>
      <c r="J6" t="s">
        <v>26</v>
      </c>
    </row>
    <row r="7" spans="2:10" s="13" customFormat="1" x14ac:dyDescent="0.25">
      <c r="B7" t="s">
        <v>155</v>
      </c>
      <c r="C7" t="s">
        <v>11</v>
      </c>
      <c r="D7" t="s">
        <v>154</v>
      </c>
      <c r="E7" t="s">
        <v>136</v>
      </c>
      <c r="F7" t="s">
        <v>18</v>
      </c>
      <c r="G7" s="20">
        <v>45125</v>
      </c>
      <c r="H7" s="20">
        <v>45491</v>
      </c>
      <c r="I7" t="s">
        <v>24</v>
      </c>
      <c r="J7" t="s">
        <v>22</v>
      </c>
    </row>
    <row r="8" spans="2:10" s="13" customFormat="1" x14ac:dyDescent="0.25">
      <c r="B8" t="s">
        <v>153</v>
      </c>
      <c r="C8" t="s">
        <v>10</v>
      </c>
      <c r="D8" t="s">
        <v>152</v>
      </c>
      <c r="E8" t="s">
        <v>136</v>
      </c>
      <c r="F8" t="s">
        <v>17</v>
      </c>
      <c r="G8" s="20">
        <v>45125</v>
      </c>
      <c r="H8" s="20">
        <v>45563</v>
      </c>
      <c r="I8" t="s">
        <v>24</v>
      </c>
      <c r="J8" t="s">
        <v>26</v>
      </c>
    </row>
    <row r="9" spans="2:10" s="13" customFormat="1" x14ac:dyDescent="0.25">
      <c r="B9" t="s">
        <v>151</v>
      </c>
      <c r="C9" t="s">
        <v>12</v>
      </c>
      <c r="D9" t="s">
        <v>149</v>
      </c>
      <c r="E9" t="s">
        <v>150</v>
      </c>
      <c r="F9" t="s">
        <v>18</v>
      </c>
      <c r="G9" s="20">
        <v>45125</v>
      </c>
      <c r="H9" s="20">
        <v>45491</v>
      </c>
      <c r="I9" t="s">
        <v>24</v>
      </c>
      <c r="J9" t="s">
        <v>26</v>
      </c>
    </row>
    <row r="10" spans="2:10" s="13" customFormat="1" x14ac:dyDescent="0.25">
      <c r="B10" t="s">
        <v>148</v>
      </c>
      <c r="C10" t="s">
        <v>12</v>
      </c>
      <c r="D10" t="s">
        <v>146</v>
      </c>
      <c r="E10" t="s">
        <v>147</v>
      </c>
      <c r="F10" t="s">
        <v>17</v>
      </c>
      <c r="G10" s="20">
        <v>45156</v>
      </c>
      <c r="H10" s="20">
        <v>45583</v>
      </c>
      <c r="I10" t="s">
        <v>24</v>
      </c>
      <c r="J10" t="s">
        <v>22</v>
      </c>
    </row>
    <row r="11" spans="2:10" s="13" customFormat="1" x14ac:dyDescent="0.25">
      <c r="B11" t="s">
        <v>145</v>
      </c>
      <c r="C11" t="s">
        <v>13</v>
      </c>
      <c r="D11" t="s">
        <v>143</v>
      </c>
      <c r="E11" t="s">
        <v>144</v>
      </c>
      <c r="F11" t="s">
        <v>18</v>
      </c>
      <c r="G11" s="20">
        <v>45095</v>
      </c>
      <c r="H11" s="20">
        <v>45501</v>
      </c>
      <c r="I11" t="s">
        <v>20</v>
      </c>
      <c r="J11" t="s">
        <v>26</v>
      </c>
    </row>
    <row r="12" spans="2:10" s="13" customFormat="1" x14ac:dyDescent="0.25">
      <c r="B12" t="s">
        <v>11</v>
      </c>
      <c r="C12" s="13" t="s">
        <v>14</v>
      </c>
      <c r="D12" t="s">
        <v>136</v>
      </c>
      <c r="E12" t="s">
        <v>137</v>
      </c>
      <c r="F12" t="s">
        <v>17</v>
      </c>
      <c r="G12" s="20">
        <v>45125</v>
      </c>
      <c r="H12" s="20">
        <v>45532</v>
      </c>
      <c r="I12" t="s">
        <v>24</v>
      </c>
      <c r="J12" t="s">
        <v>26</v>
      </c>
    </row>
    <row r="13" spans="2:10" s="13" customFormat="1" x14ac:dyDescent="0.25">
      <c r="B13" s="13" t="s">
        <v>101</v>
      </c>
      <c r="C13" s="13" t="s">
        <v>13</v>
      </c>
      <c r="D13" s="13" t="s">
        <v>86</v>
      </c>
      <c r="E13" s="13" t="s">
        <v>93</v>
      </c>
      <c r="F13" s="13" t="s">
        <v>17</v>
      </c>
      <c r="G13" s="15">
        <v>45125</v>
      </c>
      <c r="H13" s="15">
        <v>45581</v>
      </c>
      <c r="I13" s="13" t="s">
        <v>24</v>
      </c>
      <c r="J13" s="13" t="s">
        <v>26</v>
      </c>
    </row>
    <row r="14" spans="2:10" s="13" customFormat="1" x14ac:dyDescent="0.25">
      <c r="B14" s="13" t="s">
        <v>102</v>
      </c>
      <c r="C14" s="13" t="s">
        <v>14</v>
      </c>
      <c r="D14" s="13" t="s">
        <v>87</v>
      </c>
      <c r="E14" s="13" t="s">
        <v>96</v>
      </c>
      <c r="F14" s="13" t="s">
        <v>18</v>
      </c>
      <c r="G14" s="15">
        <v>45126</v>
      </c>
      <c r="H14" s="15">
        <v>45521</v>
      </c>
      <c r="I14" s="13" t="s">
        <v>20</v>
      </c>
      <c r="J14" s="13" t="s">
        <v>26</v>
      </c>
    </row>
    <row r="15" spans="2:10" s="13" customFormat="1" x14ac:dyDescent="0.25">
      <c r="B15" s="13" t="s">
        <v>103</v>
      </c>
      <c r="C15" s="13" t="s">
        <v>15</v>
      </c>
      <c r="D15" s="13" t="s">
        <v>88</v>
      </c>
      <c r="E15" s="13" t="s">
        <v>94</v>
      </c>
      <c r="F15" s="13" t="s">
        <v>18</v>
      </c>
      <c r="G15" s="15">
        <v>45127</v>
      </c>
      <c r="H15" s="15">
        <v>45522</v>
      </c>
      <c r="I15" s="13" t="s">
        <v>20</v>
      </c>
      <c r="J15" s="13" t="s">
        <v>26</v>
      </c>
    </row>
    <row r="16" spans="2:10" x14ac:dyDescent="0.25">
      <c r="B16" s="13" t="s">
        <v>104</v>
      </c>
      <c r="C16" s="13" t="s">
        <v>10</v>
      </c>
      <c r="D16" s="9" t="s">
        <v>89</v>
      </c>
      <c r="E16" s="9" t="s">
        <v>95</v>
      </c>
      <c r="F16" s="13" t="s">
        <v>17</v>
      </c>
      <c r="G16" s="15">
        <v>45128</v>
      </c>
      <c r="H16" s="15">
        <v>45523</v>
      </c>
      <c r="I16" s="13" t="s">
        <v>20</v>
      </c>
      <c r="J16" s="13" t="s">
        <v>26</v>
      </c>
    </row>
    <row r="17" spans="2:10" x14ac:dyDescent="0.25">
      <c r="B17" s="13" t="s">
        <v>105</v>
      </c>
      <c r="C17" s="13" t="s">
        <v>11</v>
      </c>
      <c r="D17" s="13" t="s">
        <v>90</v>
      </c>
      <c r="E17" s="13" t="s">
        <v>97</v>
      </c>
      <c r="F17" s="13" t="s">
        <v>18</v>
      </c>
      <c r="G17" s="15">
        <v>45129</v>
      </c>
      <c r="H17" s="15">
        <v>45524</v>
      </c>
      <c r="I17" s="13" t="s">
        <v>20</v>
      </c>
      <c r="J17" s="13" t="s">
        <v>26</v>
      </c>
    </row>
    <row r="18" spans="2:10" x14ac:dyDescent="0.25">
      <c r="B18" s="13" t="s">
        <v>106</v>
      </c>
      <c r="C18" s="13" t="s">
        <v>12</v>
      </c>
      <c r="D18" s="13" t="s">
        <v>91</v>
      </c>
      <c r="E18" s="13" t="s">
        <v>98</v>
      </c>
      <c r="F18" s="13" t="s">
        <v>17</v>
      </c>
      <c r="G18" s="15">
        <v>45130</v>
      </c>
      <c r="H18" s="15">
        <v>45525</v>
      </c>
      <c r="I18" s="13" t="s">
        <v>24</v>
      </c>
      <c r="J18" s="13" t="s">
        <v>26</v>
      </c>
    </row>
    <row r="19" spans="2:10" x14ac:dyDescent="0.25">
      <c r="B19" s="13" t="s">
        <v>107</v>
      </c>
      <c r="C19" s="13" t="s">
        <v>10</v>
      </c>
      <c r="D19" s="13" t="s">
        <v>92</v>
      </c>
      <c r="E19" s="13" t="s">
        <v>99</v>
      </c>
      <c r="F19" s="13" t="s">
        <v>17</v>
      </c>
      <c r="G19" s="15">
        <v>45131</v>
      </c>
      <c r="H19" s="15">
        <v>45526</v>
      </c>
      <c r="I19" s="13" t="s">
        <v>20</v>
      </c>
      <c r="J19" s="13" t="s">
        <v>26</v>
      </c>
    </row>
    <row r="20" spans="2:10" x14ac:dyDescent="0.25">
      <c r="B20" s="13" t="s">
        <v>108</v>
      </c>
      <c r="C20" s="13" t="s">
        <v>13</v>
      </c>
      <c r="D20" s="13" t="s">
        <v>86</v>
      </c>
      <c r="E20" s="13" t="s">
        <v>96</v>
      </c>
      <c r="F20" s="13" t="s">
        <v>17</v>
      </c>
      <c r="G20" s="15">
        <v>45132</v>
      </c>
      <c r="H20" s="15">
        <v>45527</v>
      </c>
      <c r="I20" s="13" t="s">
        <v>24</v>
      </c>
      <c r="J20" s="13" t="s">
        <v>26</v>
      </c>
    </row>
    <row r="21" spans="2:10" x14ac:dyDescent="0.25">
      <c r="B21" s="13" t="s">
        <v>109</v>
      </c>
      <c r="C21" s="13" t="s">
        <v>14</v>
      </c>
      <c r="D21" s="13" t="s">
        <v>87</v>
      </c>
      <c r="E21" s="13" t="s">
        <v>94</v>
      </c>
      <c r="F21" s="13" t="s">
        <v>18</v>
      </c>
      <c r="G21" s="15">
        <v>45133</v>
      </c>
      <c r="H21" s="15">
        <v>45528</v>
      </c>
      <c r="I21" s="13" t="s">
        <v>20</v>
      </c>
      <c r="J21" s="13" t="s">
        <v>26</v>
      </c>
    </row>
    <row r="22" spans="2:10" x14ac:dyDescent="0.25">
      <c r="B22" s="13" t="s">
        <v>110</v>
      </c>
      <c r="C22" s="13" t="s">
        <v>15</v>
      </c>
      <c r="D22" s="13" t="s">
        <v>88</v>
      </c>
      <c r="E22" s="9" t="s">
        <v>95</v>
      </c>
      <c r="F22" s="13" t="s">
        <v>18</v>
      </c>
      <c r="G22" s="15">
        <v>45134</v>
      </c>
      <c r="H22" s="15">
        <v>45529</v>
      </c>
      <c r="I22" s="13" t="s">
        <v>20</v>
      </c>
      <c r="J22" s="13" t="s">
        <v>26</v>
      </c>
    </row>
    <row r="23" spans="2:10" x14ac:dyDescent="0.25">
      <c r="B23" s="13" t="s">
        <v>111</v>
      </c>
      <c r="C23" s="13" t="s">
        <v>10</v>
      </c>
      <c r="D23" s="9" t="s">
        <v>89</v>
      </c>
      <c r="E23" s="13" t="s">
        <v>93</v>
      </c>
      <c r="F23" s="13" t="s">
        <v>17</v>
      </c>
      <c r="G23" s="15">
        <v>45128</v>
      </c>
      <c r="H23" s="15">
        <v>45523</v>
      </c>
      <c r="I23" s="13" t="s">
        <v>20</v>
      </c>
      <c r="J23" s="13" t="s">
        <v>26</v>
      </c>
    </row>
    <row r="24" spans="2:10" x14ac:dyDescent="0.25">
      <c r="B24" s="13" t="s">
        <v>112</v>
      </c>
      <c r="C24" s="13" t="s">
        <v>11</v>
      </c>
      <c r="D24" s="13" t="s">
        <v>90</v>
      </c>
      <c r="E24" s="13" t="s">
        <v>96</v>
      </c>
      <c r="F24" s="13" t="s">
        <v>18</v>
      </c>
      <c r="G24" s="15">
        <v>45129</v>
      </c>
      <c r="H24" s="15">
        <v>45524</v>
      </c>
      <c r="I24" s="13" t="s">
        <v>20</v>
      </c>
      <c r="J24" s="13" t="s">
        <v>26</v>
      </c>
    </row>
    <row r="25" spans="2:10" x14ac:dyDescent="0.25">
      <c r="B25" s="13" t="s">
        <v>113</v>
      </c>
      <c r="C25" s="13" t="s">
        <v>11</v>
      </c>
      <c r="D25" s="13" t="s">
        <v>91</v>
      </c>
      <c r="E25" s="13" t="s">
        <v>94</v>
      </c>
      <c r="F25" s="13" t="s">
        <v>17</v>
      </c>
      <c r="G25" s="15">
        <v>45130</v>
      </c>
      <c r="H25" s="15">
        <v>45525</v>
      </c>
      <c r="I25" s="13" t="s">
        <v>24</v>
      </c>
      <c r="J25" s="13" t="s">
        <v>26</v>
      </c>
    </row>
    <row r="26" spans="2:10" x14ac:dyDescent="0.25">
      <c r="B26" s="13" t="s">
        <v>114</v>
      </c>
      <c r="C26" s="13" t="s">
        <v>12</v>
      </c>
      <c r="D26" s="13" t="s">
        <v>92</v>
      </c>
      <c r="E26" s="9" t="s">
        <v>95</v>
      </c>
      <c r="F26" s="13" t="s">
        <v>17</v>
      </c>
      <c r="G26" s="15">
        <v>45131</v>
      </c>
      <c r="H26" s="15">
        <v>45526</v>
      </c>
      <c r="I26" s="13" t="s">
        <v>20</v>
      </c>
      <c r="J26" s="13" t="s">
        <v>26</v>
      </c>
    </row>
    <row r="27" spans="2:10" x14ac:dyDescent="0.25">
      <c r="B27" s="13" t="s">
        <v>115</v>
      </c>
      <c r="C27" s="13" t="s">
        <v>10</v>
      </c>
      <c r="D27" s="13" t="s">
        <v>86</v>
      </c>
      <c r="E27" s="13" t="s">
        <v>97</v>
      </c>
      <c r="F27" s="13" t="s">
        <v>17</v>
      </c>
      <c r="G27" s="15">
        <v>45132</v>
      </c>
      <c r="H27" s="15">
        <v>45527</v>
      </c>
      <c r="I27" s="13" t="s">
        <v>24</v>
      </c>
      <c r="J27" s="13" t="s">
        <v>26</v>
      </c>
    </row>
    <row r="28" spans="2:10" x14ac:dyDescent="0.25">
      <c r="B28" s="13" t="s">
        <v>116</v>
      </c>
      <c r="C28" s="13" t="s">
        <v>14</v>
      </c>
      <c r="D28" s="13" t="s">
        <v>87</v>
      </c>
      <c r="E28" s="13" t="s">
        <v>98</v>
      </c>
      <c r="F28" s="13" t="s">
        <v>18</v>
      </c>
      <c r="G28" s="15">
        <v>45133</v>
      </c>
      <c r="H28" s="15">
        <v>45528</v>
      </c>
      <c r="I28" s="13" t="s">
        <v>20</v>
      </c>
      <c r="J28" s="13" t="s">
        <v>26</v>
      </c>
    </row>
    <row r="29" spans="2:10" x14ac:dyDescent="0.25">
      <c r="B29" s="13" t="s">
        <v>117</v>
      </c>
      <c r="C29" s="13" t="s">
        <v>14</v>
      </c>
      <c r="D29" s="13" t="s">
        <v>88</v>
      </c>
      <c r="E29" s="13" t="s">
        <v>99</v>
      </c>
      <c r="F29" s="13" t="s">
        <v>18</v>
      </c>
      <c r="G29" s="15">
        <v>45134</v>
      </c>
      <c r="H29" s="15">
        <v>45529</v>
      </c>
      <c r="I29" s="13" t="s">
        <v>20</v>
      </c>
      <c r="J29" s="13" t="s">
        <v>26</v>
      </c>
    </row>
    <row r="30" spans="2:10" x14ac:dyDescent="0.25">
      <c r="B30" s="13" t="s">
        <v>118</v>
      </c>
      <c r="C30" s="13" t="s">
        <v>10</v>
      </c>
      <c r="D30" s="9" t="s">
        <v>89</v>
      </c>
      <c r="E30" s="13" t="s">
        <v>96</v>
      </c>
      <c r="F30" s="13" t="s">
        <v>17</v>
      </c>
      <c r="G30" s="15">
        <v>45128</v>
      </c>
      <c r="H30" s="15">
        <v>45523</v>
      </c>
      <c r="I30" s="13" t="s">
        <v>24</v>
      </c>
      <c r="J30" s="13" t="s">
        <v>26</v>
      </c>
    </row>
    <row r="31" spans="2:10" x14ac:dyDescent="0.25">
      <c r="B31" s="13" t="s">
        <v>119</v>
      </c>
      <c r="C31" s="13" t="s">
        <v>11</v>
      </c>
      <c r="D31" s="13" t="s">
        <v>90</v>
      </c>
      <c r="E31" s="13" t="s">
        <v>94</v>
      </c>
      <c r="F31" s="13" t="s">
        <v>18</v>
      </c>
      <c r="G31" s="15">
        <v>45129</v>
      </c>
      <c r="H31" s="15">
        <v>45524</v>
      </c>
      <c r="I31" s="13" t="s">
        <v>20</v>
      </c>
      <c r="J31" s="13" t="s">
        <v>26</v>
      </c>
    </row>
    <row r="32" spans="2:10" x14ac:dyDescent="0.25">
      <c r="B32" s="13" t="s">
        <v>120</v>
      </c>
      <c r="C32" s="13" t="s">
        <v>12</v>
      </c>
      <c r="D32" s="13" t="s">
        <v>91</v>
      </c>
      <c r="E32" s="9" t="s">
        <v>95</v>
      </c>
      <c r="F32" s="13" t="s">
        <v>17</v>
      </c>
      <c r="G32" s="15">
        <v>45134</v>
      </c>
      <c r="H32" s="15">
        <v>45529</v>
      </c>
      <c r="I32" s="13" t="s">
        <v>24</v>
      </c>
      <c r="J32" s="13" t="s">
        <v>26</v>
      </c>
    </row>
    <row r="33" spans="2:10" x14ac:dyDescent="0.25">
      <c r="B33" s="13" t="s">
        <v>121</v>
      </c>
      <c r="C33" s="13" t="s">
        <v>10</v>
      </c>
      <c r="D33" s="13" t="s">
        <v>92</v>
      </c>
      <c r="E33" s="13" t="s">
        <v>100</v>
      </c>
      <c r="F33" s="13" t="s">
        <v>17</v>
      </c>
      <c r="G33" s="15">
        <v>45134</v>
      </c>
      <c r="H33" s="15">
        <v>45529</v>
      </c>
      <c r="I33" s="13" t="s">
        <v>24</v>
      </c>
      <c r="J33" s="13" t="s">
        <v>26</v>
      </c>
    </row>
    <row r="34" spans="2:10" x14ac:dyDescent="0.25">
      <c r="B34" s="11" t="str">
        <f>UPPER(LEFT(C34,1)&amp;LEFT(D34,2)&amp;"_"&amp;E34)</f>
        <v>PGO_JIMENA</v>
      </c>
      <c r="C34" s="13" t="s">
        <v>14</v>
      </c>
      <c r="D34" s="13" t="s">
        <v>88</v>
      </c>
      <c r="E34" s="11" t="s">
        <v>123</v>
      </c>
      <c r="F34" s="13" t="s">
        <v>17</v>
      </c>
      <c r="G34" s="15">
        <v>45134</v>
      </c>
      <c r="H34" s="15">
        <v>45529</v>
      </c>
      <c r="I34" s="13" t="s">
        <v>24</v>
      </c>
      <c r="J34" s="13" t="s">
        <v>26</v>
      </c>
    </row>
    <row r="35" spans="2:10" x14ac:dyDescent="0.25">
      <c r="B35" s="11" t="str">
        <f t="shared" ref="B35" si="0">UPPER(LEFT(C35,1)&amp;LEFT(D35,2)&amp;"_"&amp;E35)</f>
        <v>FFE_RAUL</v>
      </c>
      <c r="C35" s="13" t="s">
        <v>10</v>
      </c>
      <c r="D35" s="9" t="s">
        <v>89</v>
      </c>
      <c r="E35" s="11" t="s">
        <v>124</v>
      </c>
      <c r="F35" s="13" t="s">
        <v>18</v>
      </c>
      <c r="G35" s="15">
        <v>45128</v>
      </c>
      <c r="H35" s="15">
        <v>45523</v>
      </c>
      <c r="I35" s="13" t="s">
        <v>20</v>
      </c>
      <c r="J35" s="13" t="s">
        <v>26</v>
      </c>
    </row>
    <row r="36" spans="2:10" x14ac:dyDescent="0.25">
      <c r="D36" s="13"/>
      <c r="F36" s="13"/>
    </row>
    <row r="37" spans="2:10" x14ac:dyDescent="0.25">
      <c r="D37" s="13"/>
      <c r="F37" s="13"/>
    </row>
    <row r="38" spans="2:10" x14ac:dyDescent="0.25">
      <c r="F38" s="13"/>
    </row>
  </sheetData>
  <dataValidations count="2">
    <dataValidation type="list" showInputMessage="1" showErrorMessage="1" sqref="I4 I6:I12" xr:uid="{482AC757-DA14-4D40-A2E8-1088BCB4A560}">
      <formula1>"Instalado, Fallado de Instalación "</formula1>
    </dataValidation>
    <dataValidation type="list" allowBlank="1" showInputMessage="1" showErrorMessage="1" sqref="F4 F6:F12" xr:uid="{67035EE6-06C9-4C36-B69A-DFF17884CF68}">
      <formula1>"Nuevo Certificado, Renovación de certificado"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errorTitle="ERROR DE DATO" error="Ah elegido una opcion equivocada" promptTitle="SELECCIONE UNA OPCION" prompt="Elija entre las opciones propuestas aqui para poder proseguir con el formulario." xr:uid="{864D6386-D8BD-4FDE-ABAA-4DAFADC81EF3}">
          <x14:formula1>
            <xm:f>EXTENSION!$B$3:$B$8</xm:f>
          </x14:formula1>
          <xm:sqref>C28 B9:B12 C6:C7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61E2A-B213-429E-A82F-8023F075CF2D}">
  <sheetPr codeName="Hoja4"/>
  <dimension ref="B2:D31"/>
  <sheetViews>
    <sheetView workbookViewId="0">
      <selection activeCell="B2" sqref="B2:D8"/>
    </sheetView>
  </sheetViews>
  <sheetFormatPr baseColWidth="10" defaultRowHeight="15" x14ac:dyDescent="0.25"/>
  <sheetData>
    <row r="2" spans="2:4" x14ac:dyDescent="0.25">
      <c r="B2" t="s">
        <v>27</v>
      </c>
      <c r="C2" t="s">
        <v>57</v>
      </c>
      <c r="D2" t="str">
        <f>PROPER(B2&amp;" "&amp;C2)</f>
        <v>Garcia Blanco</v>
      </c>
    </row>
    <row r="3" spans="2:4" x14ac:dyDescent="0.25">
      <c r="B3" t="s">
        <v>28</v>
      </c>
      <c r="C3" t="s">
        <v>58</v>
      </c>
      <c r="D3" t="str">
        <f t="shared" ref="D3:D31" si="0">PROPER(B3&amp;" "&amp;C3)</f>
        <v>Rodriguez Suarez</v>
      </c>
    </row>
    <row r="4" spans="2:4" x14ac:dyDescent="0.25">
      <c r="B4" t="s">
        <v>29</v>
      </c>
      <c r="C4" t="s">
        <v>59</v>
      </c>
      <c r="D4" t="str">
        <f t="shared" si="0"/>
        <v>Gonzalez Castro</v>
      </c>
    </row>
    <row r="5" spans="2:4" x14ac:dyDescent="0.25">
      <c r="B5" t="s">
        <v>30</v>
      </c>
      <c r="C5" t="s">
        <v>60</v>
      </c>
      <c r="D5" t="str">
        <f t="shared" si="0"/>
        <v>Fernandez Ortega</v>
      </c>
    </row>
    <row r="6" spans="2:4" x14ac:dyDescent="0.25">
      <c r="B6" t="s">
        <v>31</v>
      </c>
      <c r="C6" t="s">
        <v>61</v>
      </c>
      <c r="D6" t="str">
        <f t="shared" si="0"/>
        <v>Lopez Delgado</v>
      </c>
    </row>
    <row r="7" spans="2:4" x14ac:dyDescent="0.25">
      <c r="B7" t="s">
        <v>32</v>
      </c>
      <c r="C7" t="s">
        <v>62</v>
      </c>
      <c r="D7" t="str">
        <f t="shared" si="0"/>
        <v>Martinez Ortiz</v>
      </c>
    </row>
    <row r="8" spans="2:4" x14ac:dyDescent="0.25">
      <c r="B8" t="s">
        <v>33</v>
      </c>
      <c r="C8" t="s">
        <v>63</v>
      </c>
      <c r="D8" t="str">
        <f t="shared" si="0"/>
        <v>Sanchez Marin</v>
      </c>
    </row>
    <row r="9" spans="2:4" x14ac:dyDescent="0.25">
      <c r="B9" t="s">
        <v>34</v>
      </c>
      <c r="C9" t="s">
        <v>64</v>
      </c>
      <c r="D9" t="str">
        <f t="shared" si="0"/>
        <v>Perez Rubio</v>
      </c>
    </row>
    <row r="10" spans="2:4" x14ac:dyDescent="0.25">
      <c r="B10" t="s">
        <v>35</v>
      </c>
      <c r="C10" t="s">
        <v>65</v>
      </c>
      <c r="D10" t="str">
        <f t="shared" si="0"/>
        <v>Gomez Nuñez</v>
      </c>
    </row>
    <row r="11" spans="2:4" x14ac:dyDescent="0.25">
      <c r="B11" t="s">
        <v>36</v>
      </c>
      <c r="C11" t="s">
        <v>66</v>
      </c>
      <c r="D11" t="str">
        <f t="shared" si="0"/>
        <v>Martin Medina</v>
      </c>
    </row>
    <row r="12" spans="2:4" x14ac:dyDescent="0.25">
      <c r="B12" t="s">
        <v>37</v>
      </c>
      <c r="C12" t="s">
        <v>67</v>
      </c>
      <c r="D12" t="str">
        <f t="shared" si="0"/>
        <v>Jimenez Sanz</v>
      </c>
    </row>
    <row r="13" spans="2:4" x14ac:dyDescent="0.25">
      <c r="B13" t="s">
        <v>38</v>
      </c>
      <c r="C13" t="s">
        <v>68</v>
      </c>
      <c r="D13" t="str">
        <f t="shared" si="0"/>
        <v>Hernandez Castillo</v>
      </c>
    </row>
    <row r="14" spans="2:4" x14ac:dyDescent="0.25">
      <c r="B14" t="s">
        <v>39</v>
      </c>
      <c r="C14" t="s">
        <v>69</v>
      </c>
      <c r="D14" t="str">
        <f t="shared" si="0"/>
        <v>Ruiz Iglesias</v>
      </c>
    </row>
    <row r="15" spans="2:4" x14ac:dyDescent="0.25">
      <c r="B15" t="s">
        <v>40</v>
      </c>
      <c r="C15" t="s">
        <v>70</v>
      </c>
      <c r="D15" t="str">
        <f t="shared" si="0"/>
        <v>Diaz Cortes</v>
      </c>
    </row>
    <row r="16" spans="2:4" x14ac:dyDescent="0.25">
      <c r="B16" t="s">
        <v>41</v>
      </c>
      <c r="C16" t="s">
        <v>71</v>
      </c>
      <c r="D16" t="str">
        <f t="shared" si="0"/>
        <v>Moreno Garrido</v>
      </c>
    </row>
    <row r="17" spans="2:4" x14ac:dyDescent="0.25">
      <c r="B17" t="s">
        <v>42</v>
      </c>
      <c r="C17" t="s">
        <v>72</v>
      </c>
      <c r="D17" t="str">
        <f t="shared" si="0"/>
        <v>Muñoz Santos</v>
      </c>
    </row>
    <row r="18" spans="2:4" x14ac:dyDescent="0.25">
      <c r="B18" t="s">
        <v>43</v>
      </c>
      <c r="C18" t="s">
        <v>73</v>
      </c>
      <c r="D18" t="str">
        <f t="shared" si="0"/>
        <v>Alvarez Guerrero</v>
      </c>
    </row>
    <row r="19" spans="2:4" x14ac:dyDescent="0.25">
      <c r="B19" t="s">
        <v>44</v>
      </c>
      <c r="C19" t="s">
        <v>74</v>
      </c>
      <c r="D19" t="str">
        <f t="shared" si="0"/>
        <v>Romero Lozano</v>
      </c>
    </row>
    <row r="20" spans="2:4" x14ac:dyDescent="0.25">
      <c r="B20" t="s">
        <v>45</v>
      </c>
      <c r="C20" t="s">
        <v>75</v>
      </c>
      <c r="D20" t="str">
        <f t="shared" si="0"/>
        <v>Gutierrez Cano</v>
      </c>
    </row>
    <row r="21" spans="2:4" x14ac:dyDescent="0.25">
      <c r="B21" t="s">
        <v>46</v>
      </c>
      <c r="C21" t="s">
        <v>76</v>
      </c>
      <c r="D21" t="str">
        <f t="shared" si="0"/>
        <v>Alonso Cruz</v>
      </c>
    </row>
    <row r="22" spans="2:4" x14ac:dyDescent="0.25">
      <c r="B22" t="s">
        <v>47</v>
      </c>
      <c r="C22" t="s">
        <v>77</v>
      </c>
      <c r="D22" t="str">
        <f t="shared" si="0"/>
        <v>Navarro Mendez</v>
      </c>
    </row>
    <row r="23" spans="2:4" x14ac:dyDescent="0.25">
      <c r="B23" t="s">
        <v>48</v>
      </c>
      <c r="C23" t="s">
        <v>78</v>
      </c>
      <c r="D23" t="str">
        <f t="shared" si="0"/>
        <v>Torres Flores</v>
      </c>
    </row>
    <row r="24" spans="2:4" x14ac:dyDescent="0.25">
      <c r="B24" t="s">
        <v>49</v>
      </c>
      <c r="C24" t="s">
        <v>79</v>
      </c>
      <c r="D24" t="str">
        <f t="shared" si="0"/>
        <v>Dominguez Prieto</v>
      </c>
    </row>
    <row r="25" spans="2:4" x14ac:dyDescent="0.25">
      <c r="B25" t="s">
        <v>50</v>
      </c>
      <c r="C25" t="s">
        <v>23</v>
      </c>
      <c r="D25" t="str">
        <f t="shared" si="0"/>
        <v>Ramos Herrera</v>
      </c>
    </row>
    <row r="26" spans="2:4" x14ac:dyDescent="0.25">
      <c r="B26" t="s">
        <v>51</v>
      </c>
      <c r="C26" t="s">
        <v>80</v>
      </c>
      <c r="D26" t="str">
        <f t="shared" si="0"/>
        <v>Vazquez Peña</v>
      </c>
    </row>
    <row r="27" spans="2:4" x14ac:dyDescent="0.25">
      <c r="B27" t="s">
        <v>52</v>
      </c>
      <c r="C27" t="s">
        <v>81</v>
      </c>
      <c r="D27" t="str">
        <f t="shared" si="0"/>
        <v>Ramirez Leon</v>
      </c>
    </row>
    <row r="28" spans="2:4" x14ac:dyDescent="0.25">
      <c r="B28" t="s">
        <v>53</v>
      </c>
      <c r="C28" t="s">
        <v>82</v>
      </c>
      <c r="D28" t="str">
        <f t="shared" si="0"/>
        <v>Gil Marquez</v>
      </c>
    </row>
    <row r="29" spans="2:4" x14ac:dyDescent="0.25">
      <c r="B29" t="s">
        <v>54</v>
      </c>
      <c r="C29" t="s">
        <v>83</v>
      </c>
      <c r="D29" t="str">
        <f t="shared" si="0"/>
        <v>Serrano Cabrera</v>
      </c>
    </row>
    <row r="30" spans="2:4" x14ac:dyDescent="0.25">
      <c r="B30" t="s">
        <v>55</v>
      </c>
      <c r="C30" t="s">
        <v>84</v>
      </c>
      <c r="D30" t="str">
        <f t="shared" si="0"/>
        <v>Morales Gallego</v>
      </c>
    </row>
    <row r="31" spans="2:4" x14ac:dyDescent="0.25">
      <c r="B31" t="s">
        <v>56</v>
      </c>
      <c r="C31" t="s">
        <v>85</v>
      </c>
      <c r="D31" t="str">
        <f t="shared" si="0"/>
        <v>Molina Calvo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C20AF7-EFEA-4EF6-B732-7C522FB85CE9}">
  <sheetPr codeName="Hoja5"/>
  <dimension ref="B1:G9"/>
  <sheetViews>
    <sheetView showGridLines="0" zoomScale="85" zoomScaleNormal="85" workbookViewId="0">
      <selection activeCell="C8" sqref="C8"/>
    </sheetView>
  </sheetViews>
  <sheetFormatPr baseColWidth="10" defaultRowHeight="15" x14ac:dyDescent="0.25"/>
  <cols>
    <col min="2" max="2" width="17.7109375" customWidth="1"/>
    <col min="3" max="3" width="18" customWidth="1"/>
    <col min="4" max="4" width="21.85546875" customWidth="1"/>
    <col min="6" max="6" width="29.140625" bestFit="1" customWidth="1"/>
    <col min="7" max="7" width="16.5703125" customWidth="1"/>
  </cols>
  <sheetData>
    <row r="1" spans="2:7" ht="31.5" customHeight="1" x14ac:dyDescent="0.25"/>
    <row r="3" spans="2:7" x14ac:dyDescent="0.25">
      <c r="B3" s="17" t="s">
        <v>0</v>
      </c>
      <c r="C3" s="17" t="s">
        <v>131</v>
      </c>
      <c r="D3" s="17" t="s">
        <v>134</v>
      </c>
      <c r="F3" s="17" t="s">
        <v>133</v>
      </c>
      <c r="G3" s="17" t="s">
        <v>131</v>
      </c>
    </row>
    <row r="4" spans="2:7" x14ac:dyDescent="0.25">
      <c r="B4" t="s">
        <v>13</v>
      </c>
      <c r="C4">
        <f>COUNTIF('FILTROS AVANZADOS'!C$5:C36,B4)</f>
        <v>3</v>
      </c>
      <c r="D4">
        <f>C4</f>
        <v>3</v>
      </c>
      <c r="F4" t="s">
        <v>135</v>
      </c>
      <c r="G4">
        <f>COUNTA('FILTROS AVANZADOS'!D$13:D36)-1</f>
        <v>22</v>
      </c>
    </row>
    <row r="5" spans="2:7" x14ac:dyDescent="0.25">
      <c r="B5" t="s">
        <v>14</v>
      </c>
      <c r="C5">
        <f>COUNTIF('FILTROS AVANZADOS'!C$5:C37,B5)</f>
        <v>6</v>
      </c>
      <c r="D5">
        <f t="shared" ref="D5:D9" si="0">C5</f>
        <v>6</v>
      </c>
      <c r="F5" t="s">
        <v>18</v>
      </c>
      <c r="G5">
        <f>COUNTIF('FILTROS AVANZADOS'!F$5:F36,F5)</f>
        <v>13</v>
      </c>
    </row>
    <row r="6" spans="2:7" x14ac:dyDescent="0.25">
      <c r="B6" t="s">
        <v>15</v>
      </c>
      <c r="C6">
        <f>COUNTIF('FILTROS AVANZADOS'!C$5:C38,B6)</f>
        <v>3</v>
      </c>
      <c r="D6">
        <f t="shared" si="0"/>
        <v>3</v>
      </c>
      <c r="F6" t="s">
        <v>17</v>
      </c>
      <c r="G6">
        <f>COUNTIF('FILTROS AVANZADOS'!F$5:F37,F6)</f>
        <v>17</v>
      </c>
    </row>
    <row r="7" spans="2:7" x14ac:dyDescent="0.25">
      <c r="B7" t="s">
        <v>10</v>
      </c>
      <c r="C7">
        <f>COUNTIF('FILTROS AVANZADOS'!C$5:C39,B7)</f>
        <v>8</v>
      </c>
      <c r="D7">
        <f t="shared" si="0"/>
        <v>8</v>
      </c>
      <c r="F7" t="s">
        <v>132</v>
      </c>
      <c r="G7">
        <f>COUNTIF('FILTROS AVANZADOS'!I$5:I35,"Instalado")</f>
        <v>14</v>
      </c>
    </row>
    <row r="8" spans="2:7" x14ac:dyDescent="0.25">
      <c r="B8" t="s">
        <v>11</v>
      </c>
      <c r="C8">
        <f>COUNTIF('FILTROS AVANZADOS'!C$5:C40,B8)</f>
        <v>5</v>
      </c>
      <c r="D8">
        <f t="shared" si="0"/>
        <v>5</v>
      </c>
    </row>
    <row r="9" spans="2:7" x14ac:dyDescent="0.25">
      <c r="B9" t="s">
        <v>12</v>
      </c>
      <c r="C9">
        <f>COUNTIF('FILTROS AVANZADOS'!C$5:C41,B9)</f>
        <v>5</v>
      </c>
      <c r="D9">
        <f t="shared" si="0"/>
        <v>5</v>
      </c>
    </row>
  </sheetData>
  <sheetProtection algorithmName="SHA-512" hashValue="KweWZxBVSRWzblUNbOa4+y0X9pCWYiqqaoL1wH66oYPyJLVGqO7XVZ6OCGPQdtcwA27q3nBpqZW5QtMyk5IalQ==" saltValue="7f59YaLe0SgTbAp7hco4cg==" spinCount="100000" sheet="1" objects="1" scenarios="1"/>
  <conditionalFormatting sqref="D4:D9">
    <cfRule type="dataBar" priority="2">
      <dataBar showValue="0">
        <cfvo type="min"/>
        <cfvo type="max"/>
        <color theme="5"/>
      </dataBar>
      <extLst>
        <ext xmlns:x14="http://schemas.microsoft.com/office/spreadsheetml/2009/9/main" uri="{B025F937-C7B1-47D3-B67F-A62EFF666E3E}">
          <x14:id>{75717412-8B5F-4DD2-876C-7E0D67D24187}</x14:id>
        </ext>
      </extLst>
    </cfRule>
  </conditionalFormatting>
  <conditionalFormatting sqref="I14:I18">
    <cfRule type="dataBar" priority="1">
      <dataBar showValue="0">
        <cfvo type="min"/>
        <cfvo type="max"/>
        <color theme="5"/>
      </dataBar>
      <extLst>
        <ext xmlns:x14="http://schemas.microsoft.com/office/spreadsheetml/2009/9/main" uri="{B025F937-C7B1-47D3-B67F-A62EFF666E3E}">
          <x14:id>{66F47427-13E4-4231-99BB-31DED36450A9}</x14:id>
        </ext>
      </extLst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717412-8B5F-4DD2-876C-7E0D67D2418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D4:D9</xm:sqref>
        </x14:conditionalFormatting>
        <x14:conditionalFormatting xmlns:xm="http://schemas.microsoft.com/office/excel/2006/main">
          <x14:cfRule type="dataBar" id="{66F47427-13E4-4231-99BB-31DED36450A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I14:I18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42E8A-324B-4A41-BA78-7D2E7617D329}">
  <sheetPr codeName="Hoja6"/>
  <dimension ref="A5:C12"/>
  <sheetViews>
    <sheetView showGridLines="0" zoomScaleNormal="100" workbookViewId="0">
      <selection activeCell="E19" sqref="E19"/>
    </sheetView>
  </sheetViews>
  <sheetFormatPr baseColWidth="10" defaultRowHeight="15" x14ac:dyDescent="0.25"/>
  <cols>
    <col min="2" max="2" width="22.7109375" customWidth="1"/>
    <col min="3" max="3" width="22.140625" customWidth="1"/>
  </cols>
  <sheetData>
    <row r="5" spans="1:3" ht="18.75" customHeight="1" x14ac:dyDescent="0.25">
      <c r="B5" s="16" t="s">
        <v>122</v>
      </c>
      <c r="C5" t="s">
        <v>142</v>
      </c>
    </row>
    <row r="6" spans="1:3" x14ac:dyDescent="0.25">
      <c r="B6" s="16"/>
    </row>
    <row r="7" spans="1:3" x14ac:dyDescent="0.25">
      <c r="A7" s="19">
        <v>4</v>
      </c>
      <c r="B7" s="16" t="s">
        <v>2</v>
      </c>
      <c r="C7" t="str">
        <f>IF(C$5="","",VLOOKUP(C$5,'FILTROS AVANZADOS'!B$5:J35,A7,0))</f>
        <v>Raul</v>
      </c>
    </row>
    <row r="8" spans="1:3" x14ac:dyDescent="0.25">
      <c r="A8" s="19">
        <v>2</v>
      </c>
      <c r="B8" s="16" t="s">
        <v>0</v>
      </c>
      <c r="C8" t="str">
        <f>IF(C$5="","",VLOOKUP(C$5,'FILTROS AVANZADOS'!B$5:J36,A8,0))</f>
        <v>FINANCIERA</v>
      </c>
    </row>
    <row r="9" spans="1:3" x14ac:dyDescent="0.25">
      <c r="A9" s="19">
        <v>6</v>
      </c>
      <c r="B9" s="16" t="s">
        <v>5</v>
      </c>
      <c r="C9" s="18">
        <f>IF(C$5="","",VLOOKUP(C$5,'FILTROS AVANZADOS'!B$5:J37,A9,0))</f>
        <v>45128</v>
      </c>
    </row>
    <row r="10" spans="1:3" x14ac:dyDescent="0.25">
      <c r="A10" s="19">
        <v>7</v>
      </c>
      <c r="B10" s="16" t="s">
        <v>6</v>
      </c>
      <c r="C10" s="18">
        <f>IF(C$5="","",VLOOKUP(C$5,'FILTROS AVANZADOS'!B$5:J38,A10,0))</f>
        <v>45523</v>
      </c>
    </row>
    <row r="11" spans="1:3" x14ac:dyDescent="0.25">
      <c r="A11" s="19">
        <v>8</v>
      </c>
      <c r="B11" s="16" t="s">
        <v>7</v>
      </c>
      <c r="C11" t="str">
        <f>IF(C$5="","",VLOOKUP(C$5,'FILTROS AVANZADOS'!B$5:J39,A11,0))</f>
        <v xml:space="preserve">Fallado de Instalación </v>
      </c>
    </row>
    <row r="12" spans="1:3" x14ac:dyDescent="0.25">
      <c r="A12" s="19">
        <v>9</v>
      </c>
      <c r="B12" s="16" t="s">
        <v>21</v>
      </c>
      <c r="C12" t="str">
        <f>IF(C$5="","",VLOOKUP(C$5,'FILTROS AVANZADOS'!B$5:J40,A12,0))</f>
        <v>Definido por el Usuario</v>
      </c>
    </row>
  </sheetData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R" error="Debe elegir uno de los datos que se encuentra en la lista desplegable." promptTitle="BUSQUEDA DE USUARIO" prompt="Despliegue la lista de codigos de usuarios para hacer una busqueda y obtener los datos requeridos." xr:uid="{314731E2-C359-450B-A90A-76126D052805}">
          <x14:formula1>
            <xm:f>'FILTROS AVANZADOS'!$B$5:B35</xm:f>
          </x14:formula1>
          <xm:sqref>C5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A3E76-31AB-421D-A71A-0C1ABB035D0E}">
  <dimension ref="A4:F124"/>
  <sheetViews>
    <sheetView showGridLines="0" zoomScale="70" zoomScaleNormal="70" workbookViewId="0">
      <selection activeCell="G17" sqref="G17"/>
    </sheetView>
  </sheetViews>
  <sheetFormatPr baseColWidth="10" defaultRowHeight="15" x14ac:dyDescent="0.25"/>
  <cols>
    <col min="1" max="1" width="22.7109375" bestFit="1" customWidth="1"/>
    <col min="2" max="2" width="20.5703125" bestFit="1" customWidth="1"/>
    <col min="3" max="3" width="16.7109375" bestFit="1" customWidth="1"/>
    <col min="4" max="5" width="18.5703125" bestFit="1" customWidth="1"/>
    <col min="6" max="6" width="30" bestFit="1" customWidth="1"/>
    <col min="7" max="7" width="22.7109375" bestFit="1" customWidth="1"/>
    <col min="8" max="14" width="24.42578125" bestFit="1" customWidth="1"/>
    <col min="15" max="15" width="12.5703125" bestFit="1" customWidth="1"/>
    <col min="16" max="16" width="9.28515625" bestFit="1" customWidth="1"/>
    <col min="17" max="17" width="12.5703125" bestFit="1" customWidth="1"/>
  </cols>
  <sheetData>
    <row r="4" spans="1:6" x14ac:dyDescent="0.25">
      <c r="A4" s="21" t="s">
        <v>0</v>
      </c>
      <c r="B4" s="21" t="s">
        <v>166</v>
      </c>
      <c r="C4" s="21" t="s">
        <v>3</v>
      </c>
      <c r="D4" s="21" t="s">
        <v>2</v>
      </c>
      <c r="E4" s="21" t="s">
        <v>1</v>
      </c>
      <c r="F4" t="s">
        <v>163</v>
      </c>
    </row>
    <row r="5" spans="1:6" x14ac:dyDescent="0.25">
      <c r="A5" t="s">
        <v>10</v>
      </c>
      <c r="F5" s="22">
        <v>8</v>
      </c>
    </row>
    <row r="6" spans="1:6" x14ac:dyDescent="0.25">
      <c r="B6" t="s">
        <v>161</v>
      </c>
      <c r="F6" s="22">
        <v>8</v>
      </c>
    </row>
    <row r="7" spans="1:6" x14ac:dyDescent="0.25">
      <c r="C7" t="s">
        <v>104</v>
      </c>
      <c r="F7" s="22">
        <v>1</v>
      </c>
    </row>
    <row r="8" spans="1:6" x14ac:dyDescent="0.25">
      <c r="D8" t="s">
        <v>95</v>
      </c>
      <c r="F8" s="22">
        <v>1</v>
      </c>
    </row>
    <row r="9" spans="1:6" x14ac:dyDescent="0.25">
      <c r="E9" t="s">
        <v>89</v>
      </c>
      <c r="F9" s="22">
        <v>1</v>
      </c>
    </row>
    <row r="10" spans="1:6" x14ac:dyDescent="0.25">
      <c r="C10" t="s">
        <v>142</v>
      </c>
      <c r="F10" s="22">
        <v>1</v>
      </c>
    </row>
    <row r="11" spans="1:6" x14ac:dyDescent="0.25">
      <c r="D11" t="s">
        <v>124</v>
      </c>
      <c r="F11" s="22">
        <v>1</v>
      </c>
    </row>
    <row r="12" spans="1:6" x14ac:dyDescent="0.25">
      <c r="E12" t="s">
        <v>89</v>
      </c>
      <c r="F12" s="22">
        <v>1</v>
      </c>
    </row>
    <row r="13" spans="1:6" x14ac:dyDescent="0.25">
      <c r="C13" t="s">
        <v>118</v>
      </c>
      <c r="F13" s="22">
        <v>1</v>
      </c>
    </row>
    <row r="14" spans="1:6" x14ac:dyDescent="0.25">
      <c r="D14" t="s">
        <v>96</v>
      </c>
      <c r="F14" s="22">
        <v>1</v>
      </c>
    </row>
    <row r="15" spans="1:6" x14ac:dyDescent="0.25">
      <c r="E15" t="s">
        <v>89</v>
      </c>
      <c r="F15" s="22">
        <v>1</v>
      </c>
    </row>
    <row r="16" spans="1:6" x14ac:dyDescent="0.25">
      <c r="C16" t="s">
        <v>111</v>
      </c>
      <c r="F16" s="22">
        <v>1</v>
      </c>
    </row>
    <row r="17" spans="1:6" x14ac:dyDescent="0.25">
      <c r="D17" t="s">
        <v>93</v>
      </c>
      <c r="F17" s="22">
        <v>1</v>
      </c>
    </row>
    <row r="18" spans="1:6" x14ac:dyDescent="0.25">
      <c r="E18" t="s">
        <v>89</v>
      </c>
      <c r="F18" s="22">
        <v>1</v>
      </c>
    </row>
    <row r="19" spans="1:6" x14ac:dyDescent="0.25">
      <c r="C19" t="s">
        <v>115</v>
      </c>
      <c r="F19" s="22">
        <v>1</v>
      </c>
    </row>
    <row r="20" spans="1:6" x14ac:dyDescent="0.25">
      <c r="D20" t="s">
        <v>97</v>
      </c>
      <c r="F20" s="22">
        <v>1</v>
      </c>
    </row>
    <row r="21" spans="1:6" x14ac:dyDescent="0.25">
      <c r="E21" t="s">
        <v>86</v>
      </c>
      <c r="F21" s="22">
        <v>1</v>
      </c>
    </row>
    <row r="22" spans="1:6" x14ac:dyDescent="0.25">
      <c r="C22" t="s">
        <v>153</v>
      </c>
      <c r="F22" s="22">
        <v>1</v>
      </c>
    </row>
    <row r="23" spans="1:6" x14ac:dyDescent="0.25">
      <c r="D23" t="s">
        <v>136</v>
      </c>
      <c r="F23" s="22">
        <v>1</v>
      </c>
    </row>
    <row r="24" spans="1:6" x14ac:dyDescent="0.25">
      <c r="E24" t="s">
        <v>152</v>
      </c>
      <c r="F24" s="22">
        <v>1</v>
      </c>
    </row>
    <row r="25" spans="1:6" x14ac:dyDescent="0.25">
      <c r="C25" t="s">
        <v>121</v>
      </c>
      <c r="F25" s="22">
        <v>1</v>
      </c>
    </row>
    <row r="26" spans="1:6" x14ac:dyDescent="0.25">
      <c r="D26" t="s">
        <v>100</v>
      </c>
      <c r="F26" s="22">
        <v>1</v>
      </c>
    </row>
    <row r="27" spans="1:6" x14ac:dyDescent="0.25">
      <c r="E27" t="s">
        <v>92</v>
      </c>
      <c r="F27" s="22">
        <v>1</v>
      </c>
    </row>
    <row r="28" spans="1:6" x14ac:dyDescent="0.25">
      <c r="C28" t="s">
        <v>107</v>
      </c>
      <c r="F28" s="22">
        <v>1</v>
      </c>
    </row>
    <row r="29" spans="1:6" x14ac:dyDescent="0.25">
      <c r="D29" t="s">
        <v>99</v>
      </c>
      <c r="F29" s="22">
        <v>1</v>
      </c>
    </row>
    <row r="30" spans="1:6" x14ac:dyDescent="0.25">
      <c r="E30" t="s">
        <v>92</v>
      </c>
      <c r="F30" s="22">
        <v>1</v>
      </c>
    </row>
    <row r="31" spans="1:6" x14ac:dyDescent="0.25">
      <c r="A31" t="s">
        <v>12</v>
      </c>
      <c r="F31" s="22">
        <v>6</v>
      </c>
    </row>
    <row r="32" spans="1:6" x14ac:dyDescent="0.25">
      <c r="B32" t="s">
        <v>161</v>
      </c>
      <c r="F32" s="22">
        <v>5</v>
      </c>
    </row>
    <row r="33" spans="2:6" x14ac:dyDescent="0.25">
      <c r="C33" t="s">
        <v>151</v>
      </c>
      <c r="F33" s="22">
        <v>1</v>
      </c>
    </row>
    <row r="34" spans="2:6" x14ac:dyDescent="0.25">
      <c r="D34" t="s">
        <v>150</v>
      </c>
      <c r="F34" s="22">
        <v>1</v>
      </c>
    </row>
    <row r="35" spans="2:6" x14ac:dyDescent="0.25">
      <c r="E35" t="s">
        <v>149</v>
      </c>
      <c r="F35" s="22">
        <v>1</v>
      </c>
    </row>
    <row r="36" spans="2:6" x14ac:dyDescent="0.25">
      <c r="C36" t="s">
        <v>120</v>
      </c>
      <c r="F36" s="22">
        <v>1</v>
      </c>
    </row>
    <row r="37" spans="2:6" x14ac:dyDescent="0.25">
      <c r="D37" t="s">
        <v>95</v>
      </c>
      <c r="F37" s="22">
        <v>1</v>
      </c>
    </row>
    <row r="38" spans="2:6" x14ac:dyDescent="0.25">
      <c r="E38" t="s">
        <v>91</v>
      </c>
      <c r="F38" s="22">
        <v>1</v>
      </c>
    </row>
    <row r="39" spans="2:6" x14ac:dyDescent="0.25">
      <c r="C39" t="s">
        <v>139</v>
      </c>
      <c r="F39" s="22">
        <v>1</v>
      </c>
    </row>
    <row r="40" spans="2:6" x14ac:dyDescent="0.25">
      <c r="D40" t="s">
        <v>126</v>
      </c>
      <c r="F40" s="22">
        <v>1</v>
      </c>
    </row>
    <row r="41" spans="2:6" x14ac:dyDescent="0.25">
      <c r="E41" t="s">
        <v>91</v>
      </c>
      <c r="F41" s="22">
        <v>1</v>
      </c>
    </row>
    <row r="42" spans="2:6" x14ac:dyDescent="0.25">
      <c r="C42" t="s">
        <v>106</v>
      </c>
      <c r="F42" s="22">
        <v>1</v>
      </c>
    </row>
    <row r="43" spans="2:6" x14ac:dyDescent="0.25">
      <c r="D43" t="s">
        <v>98</v>
      </c>
      <c r="F43" s="22">
        <v>1</v>
      </c>
    </row>
    <row r="44" spans="2:6" x14ac:dyDescent="0.25">
      <c r="E44" t="s">
        <v>91</v>
      </c>
      <c r="F44" s="22">
        <v>1</v>
      </c>
    </row>
    <row r="45" spans="2:6" x14ac:dyDescent="0.25">
      <c r="C45" t="s">
        <v>114</v>
      </c>
      <c r="F45" s="22">
        <v>1</v>
      </c>
    </row>
    <row r="46" spans="2:6" x14ac:dyDescent="0.25">
      <c r="D46" t="s">
        <v>95</v>
      </c>
      <c r="F46" s="22">
        <v>1</v>
      </c>
    </row>
    <row r="47" spans="2:6" x14ac:dyDescent="0.25">
      <c r="E47" t="s">
        <v>92</v>
      </c>
      <c r="F47" s="22">
        <v>1</v>
      </c>
    </row>
    <row r="48" spans="2:6" x14ac:dyDescent="0.25">
      <c r="B48" t="s">
        <v>162</v>
      </c>
      <c r="F48" s="22">
        <v>1</v>
      </c>
    </row>
    <row r="49" spans="1:6" x14ac:dyDescent="0.25">
      <c r="C49" t="s">
        <v>148</v>
      </c>
      <c r="F49" s="22">
        <v>1</v>
      </c>
    </row>
    <row r="50" spans="1:6" x14ac:dyDescent="0.25">
      <c r="D50" t="s">
        <v>147</v>
      </c>
      <c r="F50" s="22">
        <v>1</v>
      </c>
    </row>
    <row r="51" spans="1:6" x14ac:dyDescent="0.25">
      <c r="E51" t="s">
        <v>146</v>
      </c>
      <c r="F51" s="22">
        <v>1</v>
      </c>
    </row>
    <row r="52" spans="1:6" x14ac:dyDescent="0.25">
      <c r="A52" t="s">
        <v>15</v>
      </c>
      <c r="F52" s="22">
        <v>2</v>
      </c>
    </row>
    <row r="53" spans="1:6" x14ac:dyDescent="0.25">
      <c r="B53" t="s">
        <v>161</v>
      </c>
      <c r="F53" s="22">
        <v>2</v>
      </c>
    </row>
    <row r="54" spans="1:6" x14ac:dyDescent="0.25">
      <c r="C54" t="s">
        <v>110</v>
      </c>
      <c r="F54" s="22">
        <v>1</v>
      </c>
    </row>
    <row r="55" spans="1:6" x14ac:dyDescent="0.25">
      <c r="D55" t="s">
        <v>95</v>
      </c>
      <c r="F55" s="22">
        <v>1</v>
      </c>
    </row>
    <row r="56" spans="1:6" x14ac:dyDescent="0.25">
      <c r="E56" t="s">
        <v>88</v>
      </c>
      <c r="F56" s="22">
        <v>1</v>
      </c>
    </row>
    <row r="57" spans="1:6" x14ac:dyDescent="0.25">
      <c r="C57" t="s">
        <v>103</v>
      </c>
      <c r="F57" s="22">
        <v>1</v>
      </c>
    </row>
    <row r="58" spans="1:6" x14ac:dyDescent="0.25">
      <c r="D58" t="s">
        <v>94</v>
      </c>
      <c r="F58" s="22">
        <v>1</v>
      </c>
    </row>
    <row r="59" spans="1:6" x14ac:dyDescent="0.25">
      <c r="E59" t="s">
        <v>88</v>
      </c>
      <c r="F59" s="22">
        <v>1</v>
      </c>
    </row>
    <row r="60" spans="1:6" x14ac:dyDescent="0.25">
      <c r="A60" t="s">
        <v>11</v>
      </c>
      <c r="F60" s="22">
        <v>6</v>
      </c>
    </row>
    <row r="61" spans="1:6" x14ac:dyDescent="0.25">
      <c r="B61" t="s">
        <v>161</v>
      </c>
      <c r="F61" s="22">
        <v>6</v>
      </c>
    </row>
    <row r="62" spans="1:6" x14ac:dyDescent="0.25">
      <c r="C62" t="s">
        <v>155</v>
      </c>
      <c r="F62" s="22">
        <v>1</v>
      </c>
    </row>
    <row r="63" spans="1:6" x14ac:dyDescent="0.25">
      <c r="D63" t="s">
        <v>136</v>
      </c>
      <c r="F63" s="22">
        <v>1</v>
      </c>
    </row>
    <row r="64" spans="1:6" x14ac:dyDescent="0.25">
      <c r="E64" t="s">
        <v>154</v>
      </c>
      <c r="F64" s="22">
        <v>1</v>
      </c>
    </row>
    <row r="65" spans="1:6" x14ac:dyDescent="0.25">
      <c r="C65" t="s">
        <v>105</v>
      </c>
      <c r="F65" s="22">
        <v>1</v>
      </c>
    </row>
    <row r="66" spans="1:6" x14ac:dyDescent="0.25">
      <c r="D66" t="s">
        <v>97</v>
      </c>
      <c r="F66" s="22">
        <v>1</v>
      </c>
    </row>
    <row r="67" spans="1:6" x14ac:dyDescent="0.25">
      <c r="E67" t="s">
        <v>90</v>
      </c>
      <c r="F67" s="22">
        <v>1</v>
      </c>
    </row>
    <row r="68" spans="1:6" x14ac:dyDescent="0.25">
      <c r="C68" t="s">
        <v>156</v>
      </c>
      <c r="F68" s="22">
        <v>1</v>
      </c>
    </row>
    <row r="69" spans="1:6" x14ac:dyDescent="0.25">
      <c r="D69" t="s">
        <v>125</v>
      </c>
      <c r="F69" s="22">
        <v>1</v>
      </c>
    </row>
    <row r="70" spans="1:6" x14ac:dyDescent="0.25">
      <c r="E70" t="s">
        <v>90</v>
      </c>
      <c r="F70" s="22">
        <v>1</v>
      </c>
    </row>
    <row r="71" spans="1:6" x14ac:dyDescent="0.25">
      <c r="C71" t="s">
        <v>119</v>
      </c>
      <c r="F71" s="22">
        <v>1</v>
      </c>
    </row>
    <row r="72" spans="1:6" x14ac:dyDescent="0.25">
      <c r="D72" t="s">
        <v>94</v>
      </c>
      <c r="F72" s="22">
        <v>1</v>
      </c>
    </row>
    <row r="73" spans="1:6" x14ac:dyDescent="0.25">
      <c r="E73" t="s">
        <v>90</v>
      </c>
      <c r="F73" s="22">
        <v>1</v>
      </c>
    </row>
    <row r="74" spans="1:6" x14ac:dyDescent="0.25">
      <c r="C74" t="s">
        <v>112</v>
      </c>
      <c r="F74" s="22">
        <v>1</v>
      </c>
    </row>
    <row r="75" spans="1:6" x14ac:dyDescent="0.25">
      <c r="D75" t="s">
        <v>96</v>
      </c>
      <c r="F75" s="22">
        <v>1</v>
      </c>
    </row>
    <row r="76" spans="1:6" x14ac:dyDescent="0.25">
      <c r="E76" t="s">
        <v>90</v>
      </c>
      <c r="F76" s="22">
        <v>1</v>
      </c>
    </row>
    <row r="77" spans="1:6" x14ac:dyDescent="0.25">
      <c r="C77" t="s">
        <v>113</v>
      </c>
      <c r="F77" s="22">
        <v>1</v>
      </c>
    </row>
    <row r="78" spans="1:6" x14ac:dyDescent="0.25">
      <c r="D78" t="s">
        <v>94</v>
      </c>
      <c r="F78" s="22">
        <v>1</v>
      </c>
    </row>
    <row r="79" spans="1:6" x14ac:dyDescent="0.25">
      <c r="E79" t="s">
        <v>91</v>
      </c>
      <c r="F79" s="22">
        <v>1</v>
      </c>
    </row>
    <row r="80" spans="1:6" x14ac:dyDescent="0.25">
      <c r="A80" t="s">
        <v>13</v>
      </c>
      <c r="F80" s="22">
        <v>6</v>
      </c>
    </row>
    <row r="81" spans="2:6" x14ac:dyDescent="0.25">
      <c r="B81" t="s">
        <v>160</v>
      </c>
      <c r="F81" s="22">
        <v>1</v>
      </c>
    </row>
    <row r="82" spans="2:6" x14ac:dyDescent="0.25">
      <c r="C82" t="s">
        <v>145</v>
      </c>
      <c r="F82" s="22">
        <v>1</v>
      </c>
    </row>
    <row r="83" spans="2:6" x14ac:dyDescent="0.25">
      <c r="D83" t="s">
        <v>144</v>
      </c>
      <c r="F83" s="22">
        <v>1</v>
      </c>
    </row>
    <row r="84" spans="2:6" x14ac:dyDescent="0.25">
      <c r="E84" t="s">
        <v>143</v>
      </c>
      <c r="F84" s="22">
        <v>1</v>
      </c>
    </row>
    <row r="85" spans="2:6" x14ac:dyDescent="0.25">
      <c r="B85" t="s">
        <v>161</v>
      </c>
      <c r="F85" s="22">
        <v>5</v>
      </c>
    </row>
    <row r="86" spans="2:6" x14ac:dyDescent="0.25">
      <c r="C86" t="s">
        <v>138</v>
      </c>
      <c r="F86" s="22">
        <v>1</v>
      </c>
    </row>
    <row r="87" spans="2:6" x14ac:dyDescent="0.25">
      <c r="D87" t="s">
        <v>128</v>
      </c>
      <c r="F87" s="22">
        <v>1</v>
      </c>
    </row>
    <row r="88" spans="2:6" x14ac:dyDescent="0.25">
      <c r="E88" t="s">
        <v>86</v>
      </c>
      <c r="F88" s="22">
        <v>1</v>
      </c>
    </row>
    <row r="89" spans="2:6" x14ac:dyDescent="0.25">
      <c r="C89" t="s">
        <v>108</v>
      </c>
      <c r="F89" s="22">
        <v>1</v>
      </c>
    </row>
    <row r="90" spans="2:6" x14ac:dyDescent="0.25">
      <c r="D90" t="s">
        <v>96</v>
      </c>
      <c r="F90" s="22">
        <v>1</v>
      </c>
    </row>
    <row r="91" spans="2:6" x14ac:dyDescent="0.25">
      <c r="E91" t="s">
        <v>86</v>
      </c>
      <c r="F91" s="22">
        <v>1</v>
      </c>
    </row>
    <row r="92" spans="2:6" x14ac:dyDescent="0.25">
      <c r="C92" t="s">
        <v>101</v>
      </c>
      <c r="F92" s="22">
        <v>1</v>
      </c>
    </row>
    <row r="93" spans="2:6" x14ac:dyDescent="0.25">
      <c r="D93" t="s">
        <v>93</v>
      </c>
      <c r="F93" s="22">
        <v>1</v>
      </c>
    </row>
    <row r="94" spans="2:6" x14ac:dyDescent="0.25">
      <c r="E94" t="s">
        <v>86</v>
      </c>
      <c r="F94" s="22">
        <v>1</v>
      </c>
    </row>
    <row r="95" spans="2:6" x14ac:dyDescent="0.25">
      <c r="C95" t="s">
        <v>140</v>
      </c>
      <c r="F95" s="22">
        <v>1</v>
      </c>
    </row>
    <row r="96" spans="2:6" x14ac:dyDescent="0.25">
      <c r="D96" t="s">
        <v>129</v>
      </c>
      <c r="F96" s="22">
        <v>1</v>
      </c>
    </row>
    <row r="97" spans="1:6" x14ac:dyDescent="0.25">
      <c r="E97" t="s">
        <v>87</v>
      </c>
      <c r="F97" s="22">
        <v>1</v>
      </c>
    </row>
    <row r="98" spans="1:6" x14ac:dyDescent="0.25">
      <c r="C98" t="s">
        <v>157</v>
      </c>
      <c r="F98" s="22">
        <v>1</v>
      </c>
    </row>
    <row r="99" spans="1:6" x14ac:dyDescent="0.25">
      <c r="D99" t="s">
        <v>127</v>
      </c>
      <c r="F99" s="22">
        <v>1</v>
      </c>
    </row>
    <row r="100" spans="1:6" x14ac:dyDescent="0.25">
      <c r="E100" t="s">
        <v>92</v>
      </c>
      <c r="F100" s="22">
        <v>1</v>
      </c>
    </row>
    <row r="101" spans="1:6" x14ac:dyDescent="0.25">
      <c r="A101" t="s">
        <v>14</v>
      </c>
      <c r="F101" s="22">
        <v>7</v>
      </c>
    </row>
    <row r="102" spans="1:6" x14ac:dyDescent="0.25">
      <c r="B102" t="s">
        <v>161</v>
      </c>
      <c r="F102" s="22">
        <v>7</v>
      </c>
    </row>
    <row r="103" spans="1:6" x14ac:dyDescent="0.25">
      <c r="C103" t="s">
        <v>11</v>
      </c>
      <c r="F103" s="22">
        <v>1</v>
      </c>
    </row>
    <row r="104" spans="1:6" x14ac:dyDescent="0.25">
      <c r="D104" t="s">
        <v>137</v>
      </c>
      <c r="F104" s="22">
        <v>1</v>
      </c>
    </row>
    <row r="105" spans="1:6" x14ac:dyDescent="0.25">
      <c r="E105" t="s">
        <v>136</v>
      </c>
      <c r="F105" s="22">
        <v>1</v>
      </c>
    </row>
    <row r="106" spans="1:6" x14ac:dyDescent="0.25">
      <c r="C106" t="s">
        <v>141</v>
      </c>
      <c r="F106" s="22">
        <v>1</v>
      </c>
    </row>
    <row r="107" spans="1:6" x14ac:dyDescent="0.25">
      <c r="D107" t="s">
        <v>130</v>
      </c>
      <c r="F107" s="22">
        <v>1</v>
      </c>
    </row>
    <row r="108" spans="1:6" x14ac:dyDescent="0.25">
      <c r="E108" t="s">
        <v>88</v>
      </c>
      <c r="F108" s="22">
        <v>1</v>
      </c>
    </row>
    <row r="109" spans="1:6" x14ac:dyDescent="0.25">
      <c r="C109" t="s">
        <v>158</v>
      </c>
      <c r="F109" s="22">
        <v>1</v>
      </c>
    </row>
    <row r="110" spans="1:6" x14ac:dyDescent="0.25">
      <c r="D110" t="s">
        <v>123</v>
      </c>
      <c r="F110" s="22">
        <v>1</v>
      </c>
    </row>
    <row r="111" spans="1:6" x14ac:dyDescent="0.25">
      <c r="E111" t="s">
        <v>88</v>
      </c>
      <c r="F111" s="22">
        <v>1</v>
      </c>
    </row>
    <row r="112" spans="1:6" x14ac:dyDescent="0.25">
      <c r="C112" t="s">
        <v>117</v>
      </c>
      <c r="F112" s="22">
        <v>1</v>
      </c>
    </row>
    <row r="113" spans="1:6" x14ac:dyDescent="0.25">
      <c r="D113" t="s">
        <v>99</v>
      </c>
      <c r="F113" s="22">
        <v>1</v>
      </c>
    </row>
    <row r="114" spans="1:6" x14ac:dyDescent="0.25">
      <c r="E114" t="s">
        <v>88</v>
      </c>
      <c r="F114" s="22">
        <v>1</v>
      </c>
    </row>
    <row r="115" spans="1:6" x14ac:dyDescent="0.25">
      <c r="C115" t="s">
        <v>109</v>
      </c>
      <c r="F115" s="22">
        <v>1</v>
      </c>
    </row>
    <row r="116" spans="1:6" x14ac:dyDescent="0.25">
      <c r="D116" t="s">
        <v>94</v>
      </c>
      <c r="F116" s="22">
        <v>1</v>
      </c>
    </row>
    <row r="117" spans="1:6" x14ac:dyDescent="0.25">
      <c r="E117" t="s">
        <v>87</v>
      </c>
      <c r="F117" s="22">
        <v>1</v>
      </c>
    </row>
    <row r="118" spans="1:6" x14ac:dyDescent="0.25">
      <c r="C118" t="s">
        <v>116</v>
      </c>
      <c r="F118" s="22">
        <v>1</v>
      </c>
    </row>
    <row r="119" spans="1:6" x14ac:dyDescent="0.25">
      <c r="D119" t="s">
        <v>98</v>
      </c>
      <c r="F119" s="22">
        <v>1</v>
      </c>
    </row>
    <row r="120" spans="1:6" x14ac:dyDescent="0.25">
      <c r="E120" t="s">
        <v>87</v>
      </c>
      <c r="F120" s="22">
        <v>1</v>
      </c>
    </row>
    <row r="121" spans="1:6" x14ac:dyDescent="0.25">
      <c r="C121" t="s">
        <v>102</v>
      </c>
      <c r="F121" s="22">
        <v>1</v>
      </c>
    </row>
    <row r="122" spans="1:6" x14ac:dyDescent="0.25">
      <c r="D122" t="s">
        <v>96</v>
      </c>
      <c r="F122" s="22">
        <v>1</v>
      </c>
    </row>
    <row r="123" spans="1:6" x14ac:dyDescent="0.25">
      <c r="E123" t="s">
        <v>87</v>
      </c>
      <c r="F123" s="22">
        <v>1</v>
      </c>
    </row>
    <row r="124" spans="1:6" x14ac:dyDescent="0.25">
      <c r="A124" t="s">
        <v>159</v>
      </c>
      <c r="F124" s="22">
        <v>35</v>
      </c>
    </row>
  </sheetData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D668FC3D74FF44A5FA3845569C87EA" ma:contentTypeVersion="7" ma:contentTypeDescription="Create a new document." ma:contentTypeScope="" ma:versionID="9704497f5cc82442c48e66435624df14">
  <xsd:schema xmlns:xsd="http://www.w3.org/2001/XMLSchema" xmlns:xs="http://www.w3.org/2001/XMLSchema" xmlns:p="http://schemas.microsoft.com/office/2006/metadata/properties" xmlns:ns3="d38c0bda-fdaf-449c-b284-c29e5664a480" xmlns:ns4="5359b644-1a6f-41bf-ba29-5a894a40714b" targetNamespace="http://schemas.microsoft.com/office/2006/metadata/properties" ma:root="true" ma:fieldsID="f7ed13e189eed911dc7838aed95fc55e" ns3:_="" ns4:_="">
    <xsd:import namespace="d38c0bda-fdaf-449c-b284-c29e5664a480"/>
    <xsd:import namespace="5359b644-1a6f-41bf-ba29-5a894a40714b"/>
    <xsd:element name="properties">
      <xsd:complexType>
        <xsd:sequence>
          <xsd:element name="documentManagement">
            <xsd:complexType>
              <xsd:all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Metadata" minOccurs="0"/>
                <xsd:element ref="ns3:MediaServiceFastMetadata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38c0bda-fdaf-449c-b284-c29e5664a480" elementFormDefault="qualified">
    <xsd:import namespace="http://schemas.microsoft.com/office/2006/documentManagement/types"/>
    <xsd:import namespace="http://schemas.microsoft.com/office/infopath/2007/PartnerControls"/>
    <xsd:element name="_activity" ma:index="8" nillable="true" ma:displayName="_activity" ma:hidden="true" ma:internalName="_activity">
      <xsd:simpleType>
        <xsd:restriction base="dms:Note"/>
      </xsd:simpleType>
    </xsd:element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359b644-1a6f-41bf-ba29-5a894a40714b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1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d38c0bda-fdaf-449c-b284-c29e5664a480" xsi:nil="true"/>
  </documentManagement>
</p:properties>
</file>

<file path=customXml/itemProps1.xml><?xml version="1.0" encoding="utf-8"?>
<ds:datastoreItem xmlns:ds="http://schemas.openxmlformats.org/officeDocument/2006/customXml" ds:itemID="{4EF3B386-2AC5-440E-96FD-52F7295274F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CBA56ED-9786-49FD-BEC8-8AA49B828DE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38c0bda-fdaf-449c-b284-c29e5664a480"/>
    <ds:schemaRef ds:uri="5359b644-1a6f-41bf-ba29-5a894a40714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6F3A967-8A4B-44BB-B170-BD5000B16B0C}">
  <ds:schemaRefs>
    <ds:schemaRef ds:uri="http://schemas.microsoft.com/office/infopath/2007/PartnerControls"/>
    <ds:schemaRef ds:uri="http://www.w3.org/XML/1998/namespace"/>
    <ds:schemaRef ds:uri="http://schemas.microsoft.com/office/2006/metadata/properties"/>
    <ds:schemaRef ds:uri="http://schemas.microsoft.com/office/2006/documentManagement/types"/>
    <ds:schemaRef ds:uri="http://purl.org/dc/dcmitype/"/>
    <ds:schemaRef ds:uri="http://purl.org/dc/terms/"/>
    <ds:schemaRef ds:uri="http://purl.org/dc/elements/1.1/"/>
    <ds:schemaRef ds:uri="http://schemas.openxmlformats.org/package/2006/metadata/core-properties"/>
    <ds:schemaRef ds:uri="5359b644-1a6f-41bf-ba29-5a894a40714b"/>
    <ds:schemaRef ds:uri="d38c0bda-fdaf-449c-b284-c29e5664a48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2</vt:i4>
      </vt:variant>
    </vt:vector>
  </HeadingPairs>
  <TitlesOfParts>
    <vt:vector size="9" baseType="lpstr">
      <vt:lpstr>FORMULARIO</vt:lpstr>
      <vt:lpstr>EXTENSION</vt:lpstr>
      <vt:lpstr>FILTROS AVANZADOS</vt:lpstr>
      <vt:lpstr>Hoja7</vt:lpstr>
      <vt:lpstr>REPORTE ESTADISTICO</vt:lpstr>
      <vt:lpstr>CONSULTAS</vt:lpstr>
      <vt:lpstr>TABLA DINAMICA</vt:lpstr>
      <vt:lpstr>CONSULTAS!Área_de_impresión</vt:lpstr>
      <vt:lpstr>'FILTROS AVANZADOS'!Criterios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2023-07-18T08:02:37Z</cp:lastPrinted>
  <dcterms:created xsi:type="dcterms:W3CDTF">2023-07-18T02:42:20Z</dcterms:created>
  <dcterms:modified xsi:type="dcterms:W3CDTF">2023-07-18T09:01:44Z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0x010100DDD668FC3D74FF44A5FA3845569C87EA</vt:lpwstr>
  </property>
</Properties>
</file>